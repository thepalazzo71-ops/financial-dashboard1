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Lorenzo/Documents/Investments/Investment Data/03.26/USA and Canada/"/>
    </mc:Choice>
  </mc:AlternateContent>
  <xr:revisionPtr revIDLastSave="0" documentId="13_ncr:1_{F65335BD-B4D9-6746-BE73-2A7B77F73D0C}" xr6:coauthVersionLast="47" xr6:coauthVersionMax="47" xr10:uidLastSave="{00000000-0000-0000-0000-000000000000}"/>
  <bookViews>
    <workbookView xWindow="0" yWindow="680" windowWidth="34200" windowHeight="20160" tabRatio="500" xr2:uid="{00000000-000D-0000-FFFF-FFFF00000000}"/>
  </bookViews>
  <sheets>
    <sheet name="Overview" sheetId="1" r:id="rId1"/>
    <sheet name="Investment Thesis" sheetId="2" r:id="rId2"/>
    <sheet name="Revenue History" sheetId="3" r:id="rId3"/>
    <sheet name="Shares Outstanding" sheetId="4" r:id="rId4"/>
    <sheet name="Net Income &amp; Debt" sheetId="5" r:id="rId5"/>
    <sheet name="Methodolog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54" i="4" l="1"/>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118" i="4"/>
  <c r="N117" i="4"/>
  <c r="N116" i="4"/>
  <c r="N115" i="4"/>
  <c r="N114" i="4"/>
  <c r="N113" i="4"/>
  <c r="N112" i="4"/>
  <c r="N111"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alcChain>
</file>

<file path=xl/sharedStrings.xml><?xml version="1.0" encoding="utf-8"?>
<sst xmlns="http://schemas.openxmlformats.org/spreadsheetml/2006/main" count="3179" uniqueCount="1202">
  <si>
    <t>USA/Canada Small/Mid-Cap Value Shortlist (15M-1B)</t>
  </si>
  <si>
    <t>v6 scoring (power-curve RG + best-lens valuation) — 150 companies from 499-survivor pool, strict filters</t>
  </si>
  <si>
    <t>Sheet Index</t>
  </si>
  <si>
    <t>Investment Thesis</t>
  </si>
  <si>
    <t>Revenue History</t>
  </si>
  <si>
    <t>Shares Outstanding</t>
  </si>
  <si>
    <t>Net Income &amp; Debt</t>
  </si>
  <si>
    <t>Methodology</t>
  </si>
  <si>
    <t>#</t>
  </si>
  <si>
    <t>Company</t>
  </si>
  <si>
    <t>Ticker</t>
  </si>
  <si>
    <t>Country</t>
  </si>
  <si>
    <t>Founded</t>
  </si>
  <si>
    <t>Industry</t>
  </si>
  <si>
    <t>Archetype</t>
  </si>
  <si>
    <t>Mkt Cap ($M)</t>
  </si>
  <si>
    <t>Total Equity ($M)</t>
  </si>
  <si>
    <t>P/B (ref)</t>
  </si>
  <si>
    <t>ROE (Recent)</t>
  </si>
  <si>
    <t>Rev Growth</t>
  </si>
  <si>
    <t>Dilution</t>
  </si>
  <si>
    <t>Profit %</t>
  </si>
  <si>
    <t>CFO+ %</t>
  </si>
  <si>
    <t>Gross Margin</t>
  </si>
  <si>
    <t>v6 Score</t>
  </si>
  <si>
    <t>Farmers &amp; Merchants Bancorp (OTCPK:FMCB)</t>
  </si>
  <si>
    <t>OTCPK:FMCB</t>
  </si>
  <si>
    <t>United States</t>
  </si>
  <si>
    <t>Banking / Community Banks — Holding company for Farmers &amp; Merchants Bank of Central California, serving retail and commercial customers in Central California.</t>
  </si>
  <si>
    <t>Capital-Efficient</t>
  </si>
  <si>
    <t>Northeast Community Bancorp, Inc. (NasdaqCM:NECB)</t>
  </si>
  <si>
    <t>NasdaqCM:NECB</t>
  </si>
  <si>
    <t>Banking / Community Banks — Maine-based community bank offering deposits, commercial real estate lending, SBA loans, and online savings</t>
  </si>
  <si>
    <t>Deep Value</t>
  </si>
  <si>
    <t>Shutterstock, Inc. (NYSE:SSTK)</t>
  </si>
  <si>
    <t>NYSE:SSTK</t>
  </si>
  <si>
    <t>Communication Services / Digital Media — Global platform licensing stock photos, videos, music, vectors, illustrations, and GenAI creative tools</t>
  </si>
  <si>
    <t>CRA International, Inc. (NasdaqGS:CRAI)</t>
  </si>
  <si>
    <t>NasdaqGS:CRAI</t>
  </si>
  <si>
    <t>Business Services / Consulting — Global consulting firm providing economic, financial, and strategic advisory services</t>
  </si>
  <si>
    <t>Oak Valley Bancorp (NasdaqCM:OVLY)</t>
  </si>
  <si>
    <t>NasdaqCM:OVLY</t>
  </si>
  <si>
    <t>Banking / Community Banks — Holding company for Oak Valley Community Bank serving California’s Central Valley and Eastern Sierra</t>
  </si>
  <si>
    <t>First Business Financial Services, Inc. (NasdaqGS:FBIZ)</t>
  </si>
  <si>
    <t>NasdaqGS:FBIZ</t>
  </si>
  <si>
    <t>Banking / Community Banks — Commercial banking, specialty finance, private wealth, and bank consulting for business leaders in the U.S.</t>
  </si>
  <si>
    <t>Balanced</t>
  </si>
  <si>
    <t>Mercantile Bank Corporation (NasdaqGS:MBWM)</t>
  </si>
  <si>
    <t>NasdaqGS:MBWM</t>
  </si>
  <si>
    <t>Banking / Community Banks — Michigan community bank providing commercial, consumer, mortgage, and treasury services across local markets.</t>
  </si>
  <si>
    <t>MTY Food Group Inc. (TSX:MTY)</t>
  </si>
  <si>
    <t>TSX:MTY</t>
  </si>
  <si>
    <t>Canada</t>
  </si>
  <si>
    <t>Consumer Discretionary / Restaurants — Franchises and operates quick-service and casual dining brands across Canada, the U.S., and international markets</t>
  </si>
  <si>
    <t>Medifast, Inc. (NYSE:MED)</t>
  </si>
  <si>
    <t>NYSE:MED</t>
  </si>
  <si>
    <t>Healthcare / Wellness Products — Direct-to-consumer metabolic health company selling coach-guided weight management plans and scientifically developed nutrition products</t>
  </si>
  <si>
    <t>Greene County Bancorp, Inc. (NasdaqCM:GCBC)</t>
  </si>
  <si>
    <t>NasdaqCM:GCBC</t>
  </si>
  <si>
    <t>Banking / Community Banks — Holding company for Greene County Bank, serving retail and commercial customers in New York</t>
  </si>
  <si>
    <t>Acme United Corporation (NYSEAM:ACU)</t>
  </si>
  <si>
    <t>NYSEAM:ACU</t>
  </si>
  <si>
    <t>Consumer Defensive / Household &amp; Personal Products — Worldwide supplier of first aid, cutting, sharpening, and measuring products for home, office, industrial, and retail markets.</t>
  </si>
  <si>
    <t>Sierra Bancorp (NasdaqGS:BSRR)</t>
  </si>
  <si>
    <t>NasdaqGS:BSRR</t>
  </si>
  <si>
    <t>Banking / Community Banks — Holding company for Bank of the Sierra, serving California communities with commercial and consumer banking</t>
  </si>
  <si>
    <t>First Financial Corporation (NasdaqGS:THFF)</t>
  </si>
  <si>
    <t>NasdaqGS:THFF</t>
  </si>
  <si>
    <t>Banking / Community Banks — Holding company for First Financial Bank, providing commercial, retail, and mortgage banking in Indiana and nearby states</t>
  </si>
  <si>
    <t>Olympia Financial Group Inc. (TSX:OLY)</t>
  </si>
  <si>
    <t>TSX:OLY</t>
  </si>
  <si>
    <t>Financial Services / Trust Services — Trust, custody, and wealth-administration services for registered plans and corporate clients in Canada</t>
  </si>
  <si>
    <t>Safety Insurance Group, Inc. (NasdaqGS:SAFT)</t>
  </si>
  <si>
    <t>NasdaqGS:SAFT</t>
  </si>
  <si>
    <t>Insurance / P&amp;C — Property and casualty insurer offering auto, home, and business insurance in New England</t>
  </si>
  <si>
    <t>Revenue Compounder</t>
  </si>
  <si>
    <t>Peoples Bancorp of North Carolina, Inc. (NasdaqGM:PEBK)</t>
  </si>
  <si>
    <t>NasdaqGM:PEBK</t>
  </si>
  <si>
    <t>Banking / Community Banks — Holding company for Peoples Bank providing commercial and consumer banking across North Carolina</t>
  </si>
  <si>
    <t>ACRES Commercial Realty Corp. (NYSE:ACR)</t>
  </si>
  <si>
    <t>NYSE:ACR</t>
  </si>
  <si>
    <t>Real Estate / REIT — Originates and manages commercial real estate mortgage loans and related debt investments in the United States</t>
  </si>
  <si>
    <t>C&amp;F Financial Corporation (NasdaqGS:CFFI)</t>
  </si>
  <si>
    <t>NasdaqGS:CFFI</t>
  </si>
  <si>
    <t>Banking / Community Banks — Virginia-based community bank holding company providing retail, commercial, mortgage, and trust banking services</t>
  </si>
  <si>
    <t>Canada Goose Holdings Inc. (TSX:GOOS)</t>
  </si>
  <si>
    <t>TSX:GOOS</t>
  </si>
  <si>
    <t>Consumer Discretionary / Apparel — Premium outerwear, apparel, footwear, and accessories for global cold-weather and lifestyle markets</t>
  </si>
  <si>
    <t>Capital City Bank Group, Inc. (NasdaqGS:CCBG)</t>
  </si>
  <si>
    <t>NasdaqGS:CCBG</t>
  </si>
  <si>
    <t>Banking / Community Banks — Florida-based financial holding company offering deposits, lending, mortgage banking, trust, asset management, brokerage, and merchant services</t>
  </si>
  <si>
    <t>AmeriServ Financial, Inc. (NasdaqGM:ASRV)</t>
  </si>
  <si>
    <t>NasdaqGM:ASRV</t>
  </si>
  <si>
    <t>Banking / Community Banks — Holding company for AmeriServ Financial Bank serving retail and commercial customers in central Pennsylvania</t>
  </si>
  <si>
    <t>Amphastar Pharmaceuticals, Inc. (NasdaqGS:AMPH)</t>
  </si>
  <si>
    <t>NasdaqGS:AMPH</t>
  </si>
  <si>
    <t>Healthcare / Pharmaceuticals — Bio-pharmaceutical company developing and selling injectable, inhalation, intranasal, and insulin API products</t>
  </si>
  <si>
    <t>First Northwest Bancorp (NasdaqGM:FNWB)</t>
  </si>
  <si>
    <t>NasdaqGM:FNWB</t>
  </si>
  <si>
    <t>Banking / Community Banks — Holding company for First Fed, a community bank serving western Washington</t>
  </si>
  <si>
    <t>HealthStream, Inc. (NasdaqGS:HSTM)</t>
  </si>
  <si>
    <t>NasdaqGS:HSTM</t>
  </si>
  <si>
    <t>Healthcare Services / Healthcare IT — SaaS software for healthcare workforce learning, credentialing, scheduling, and clinical development</t>
  </si>
  <si>
    <t>OTC Markets Group Inc. (OTCPK:OTCM)</t>
  </si>
  <si>
    <t>OTCPK:OTCM</t>
  </si>
  <si>
    <t>Financial Services / Market Infrastructure — Operates regulated OTC markets, trading platforms, and market data services for U.S. and international securities</t>
  </si>
  <si>
    <t>Simulations Plus, Inc. (NasdaqGS:SLP)</t>
  </si>
  <si>
    <t>NasdaqGS:SLP</t>
  </si>
  <si>
    <t>Healthcare Services / Drug Development Software — Software and consulting for pharmaceutical modeling, simulation, and clinical development</t>
  </si>
  <si>
    <t>First Community Corporation (NasdaqCM:FCCO)</t>
  </si>
  <si>
    <t>NasdaqCM:FCCO</t>
  </si>
  <si>
    <t>Banking / Community Banks — Holding company for First Community Bank serving customers in South Carolina and surrounding markets</t>
  </si>
  <si>
    <t>West Bancorporation, Inc. (NasdaqGS:WTBA)</t>
  </si>
  <si>
    <t>NasdaqGS:WTBA</t>
  </si>
  <si>
    <t>Banking / Community Banks — Community bank holding company offering loans and deposits in Iowa and southern Minnesota</t>
  </si>
  <si>
    <t>Tri City Bankshares Corporation (OTCPK:TRCY)</t>
  </si>
  <si>
    <t>OTCPK:TRCY</t>
  </si>
  <si>
    <t>Banking / Community Banks — Bank holding company for Tri City National Bank serving consumers and businesses in southeastern Wisconsin</t>
  </si>
  <si>
    <t>Melcor Developments Ltd. (TSX:MRD)</t>
  </si>
  <si>
    <t>TSX:MRD</t>
  </si>
  <si>
    <t>Real Estate / Development — Diversified real estate development and asset management across Western Canada and U.S. Sun Belt markets</t>
  </si>
  <si>
    <t>Western New England Bancorp, Inc. (NasdaqGS:WNEB)</t>
  </si>
  <si>
    <t>NasdaqGS:WNEB</t>
  </si>
  <si>
    <t>Banking / Community Banks — Holding company for a Massachusetts community bank serving retail and commercial customers</t>
  </si>
  <si>
    <t>Camden National Corporation (NasdaqGS:CAC)</t>
  </si>
  <si>
    <t>NasdaqGS:CAC</t>
  </si>
  <si>
    <t>Banking / Community Banks — Holding company for Camden National Bank, serving retail and commercial banking customers in Maine.</t>
  </si>
  <si>
    <t>Madison Pacific Properties Inc. (TSX:MPC)</t>
  </si>
  <si>
    <t>TSX:MPC</t>
  </si>
  <si>
    <t>Real Estate / REIT — Owners, managers and developers of commercial real estate assets in Canada</t>
  </si>
  <si>
    <t>QNB Corp. (OTCPK:QNBC)</t>
  </si>
  <si>
    <t>OTCPK:QNBC</t>
  </si>
  <si>
    <t>Banking / Community Banks — Bank holding company for QNB Bank offering commercial and retail banking in Pennsylvania</t>
  </si>
  <si>
    <t>CNB Community Bancorp, Inc. (OTCPK:CNBB)</t>
  </si>
  <si>
    <t>OTCPK:CNBB</t>
  </si>
  <si>
    <t>Banking / Community Banks — One-bank holding company for County National Bank serving southern Michigan communities</t>
  </si>
  <si>
    <t>Computer Modelling Group Ltd. (TSX:CMG)</t>
  </si>
  <si>
    <t>TSX:CMG</t>
  </si>
  <si>
    <t>Software / IT / SaaS — Reservoir simulation software and consulting for upstream oil and gas and energy-transition operators</t>
  </si>
  <si>
    <t>PrimeEnergy Resources Corporation (NasdaqCM:PNRG)</t>
  </si>
  <si>
    <t>NasdaqCM:PNRG</t>
  </si>
  <si>
    <t>Energy / Oil &amp; Gas E&amp;P — Independent oil and natural gas exploration, development, and production in the United States</t>
  </si>
  <si>
    <t>Hammond Manufacturing Company Limited (TSX:HMM.A)</t>
  </si>
  <si>
    <t>TSX:HMM.A</t>
  </si>
  <si>
    <t>Industrials / Electrical Equipment — Designs and manufactures electrical enclosures, racks, cabinets, transformers, and related components</t>
  </si>
  <si>
    <t>Oconee Financial Corporation (OTCPK:OSBK)</t>
  </si>
  <si>
    <t>OTCPK:OSBK</t>
  </si>
  <si>
    <t>Banking / Community Banks — Holding company for Oconee State Bank, a Georgia community bank serving local deposits, loans, and mortgage banking</t>
  </si>
  <si>
    <t>LendingTree, Inc. (NasdaqGS:TREE)</t>
  </si>
  <si>
    <t>NasdaqGS:TREE</t>
  </si>
  <si>
    <t>Financial Services / Fintech — Online lending marketplace connecting consumers with mortgage, personal loan, auto, and insurance offers</t>
  </si>
  <si>
    <t>IF Bancorp, Inc. (NasdaqCM:IROQ)</t>
  </si>
  <si>
    <t>NasdaqCM:IROQ</t>
  </si>
  <si>
    <t>Banking / Community Banks — Holding company for Iroquois Federal Savings and Loan, serving deposit and lending customers in Illinois</t>
  </si>
  <si>
    <t>Oxford Industries, Inc. (NYSE:OXM)</t>
  </si>
  <si>
    <t>NYSE:OXM</t>
  </si>
  <si>
    <t>Consumer Discretionary / Apparel — Branded apparel company designing, sourcing, marketing and distributing lifestyle apparel and accessories</t>
  </si>
  <si>
    <t>Cars.com Inc. (NYSE:CARS)</t>
  </si>
  <si>
    <t>NYSE:CARS</t>
  </si>
  <si>
    <t>Consumer Discretionary / Automotive Retail — Online automotive marketplace connecting consumers with dealers through listings, reviews, and dealer software</t>
  </si>
  <si>
    <t>Summit State Bank (NasdaqGM:SSBI)</t>
  </si>
  <si>
    <t>NasdaqGM:SSBI</t>
  </si>
  <si>
    <t>Banking / Community Banks — Holding company for Summit State Bank serving small- and middle-market businesses in Sonoma County, California</t>
  </si>
  <si>
    <t>Integra LifeSciences Holdings Corporation (NasdaqGS:IART)</t>
  </si>
  <si>
    <t>NasdaqGS:IART</t>
  </si>
  <si>
    <t>Healthcare / Medical Devices — Global medical technology company making neurosurgery, ENT, wound reconstruction, and surgical instrumentation products</t>
  </si>
  <si>
    <t>Tripadvisor, Inc. (NasdaqGS:TRIP)</t>
  </si>
  <si>
    <t>NasdaqGS:TRIP</t>
  </si>
  <si>
    <t>Consumer Discretionary / Travel Services — Online travel platform providing hotel, experience, and restaurant discovery, booking, and reviews worldwide</t>
  </si>
  <si>
    <t>Immersion Corporation (NasdaqGS:IMMR)</t>
  </si>
  <si>
    <t>NasdaqGS:IMMR</t>
  </si>
  <si>
    <t>Technology / Semiconductors — Licenses haptic touch-feedback software and IP for mobile, gaming, automotive, and medical devices</t>
  </si>
  <si>
    <t>Hingham Institution for Savings (NasdaqGM:HIFS)</t>
  </si>
  <si>
    <t>NasdaqGM:HIFS</t>
  </si>
  <si>
    <t>Banking / Community Banks — Holding company for Hingham Savings Bank serving retail and commercial banking customers in Massachusetts and nearby markets</t>
  </si>
  <si>
    <t>Gouverneur Bancorp, Inc. (OTCPK:GOVB)</t>
  </si>
  <si>
    <t>OTCPK:GOVB</t>
  </si>
  <si>
    <t>Banking / Community Banks — Holding company for Gouverneur Savings and Loan Association, offering deposit and loan services in New York</t>
  </si>
  <si>
    <t>Upbound Group, Inc. (NasdaqGS:UPBD)</t>
  </si>
  <si>
    <t>NasdaqGS:UPBD</t>
  </si>
  <si>
    <t>Consumer Discretionary / Specialty Retail — Lease-to-own and financial health services for consumers and retailers in the U.S.</t>
  </si>
  <si>
    <t>NamSys Inc. (TSXV:CTZ)</t>
  </si>
  <si>
    <t>TSXV:CTZ</t>
  </si>
  <si>
    <t>Software / IT / SaaS — Cloud-based cash management software for banks, merchants, and cash logistics operators</t>
  </si>
  <si>
    <t>Shoe Carnival, Inc. (NasdaqGS:SCVL)</t>
  </si>
  <si>
    <t>NasdaqGS:SCVL</t>
  </si>
  <si>
    <t>Consumer Discretionary / Footwear Retail — Omnichannel family footwear retailer selling branded shoes, boots, sandals, and accessories in the U.S.</t>
  </si>
  <si>
    <t>First Keystone Corporation (OTCPK:FKYS)</t>
  </si>
  <si>
    <t>OTCPK:FKYS</t>
  </si>
  <si>
    <t>Banking / Community Banks — Holding company for First Keystone Community Bank serving northeastern Pennsylvania</t>
  </si>
  <si>
    <t>Superior Group of Companies, Inc. (NasdaqGM:SGC)</t>
  </si>
  <si>
    <t>NasdaqGM:SGC</t>
  </si>
  <si>
    <t>Consumer Discretionary / Apparel — Workwear, healthcare apparel, branded product programs, and outsourced customer-service solutions for companies globally</t>
  </si>
  <si>
    <t>AMCON Distributing Company (NYSEAM:DIT)</t>
  </si>
  <si>
    <t>NYSEAM:DIT</t>
  </si>
  <si>
    <t>Consumer Discretionary / Food Distribution — Wholesale distributor of tobacco, candy, beverages, groceries, and other convenience-store products</t>
  </si>
  <si>
    <t>United-Guardian, Inc. (NasdaqGM:UG)</t>
  </si>
  <si>
    <t>NasdaqGM:UG</t>
  </si>
  <si>
    <t>Materials / Specialty Chemicals — Manufacturer of cosmetic, personal care, medical lubricating, and pharmaceutical ingredients</t>
  </si>
  <si>
    <t>Standard Motor Products, Inc. (NYSE:SMP)</t>
  </si>
  <si>
    <t>NYSE:SMP</t>
  </si>
  <si>
    <t>Consumer Discretionary / Auto Parts — Manufacturer and distributor of premium automotive aftermarket replacement parts and custom-engineered vehicle technologies</t>
  </si>
  <si>
    <t>Insperity, Inc. (NYSE:NSP)</t>
  </si>
  <si>
    <t>NYSE:NSP</t>
  </si>
  <si>
    <t>Business Services / HR Outsourcing — HR outsourcing and human capital management services for small and midsize U.S. businesses</t>
  </si>
  <si>
    <t>Algoma Central Corporation (TSX:ALC)</t>
  </si>
  <si>
    <t>TSX:ALC</t>
  </si>
  <si>
    <t>Industrials / Shipping — Great Lakes and ocean bulk carrier shipping, product tanker transport, and marine vessel management</t>
  </si>
  <si>
    <t>Supremex Inc. (TSX:SXP)</t>
  </si>
  <si>
    <t>TSX:SXP</t>
  </si>
  <si>
    <t>Materials / Packaging — Manufacturer of envelopes and paper-based packaging solutions for North American commercial customers</t>
  </si>
  <si>
    <t>Crown Crafts, Inc. (NasdaqCM:CRWS)</t>
  </si>
  <si>
    <t>NasdaqCM:CRWS</t>
  </si>
  <si>
    <t>Consumer Discretionary / Apparel — Designs, markets, and distributes infant, toddler, and juvenile consumer products in North America</t>
  </si>
  <si>
    <t>Evolution Petroleum Corporation (NYSEAM:EPM)</t>
  </si>
  <si>
    <t>NYSEAM:EPM</t>
  </si>
  <si>
    <t>Energy / Oil &amp; Gas E&amp;P — Oil and natural gas production in Texas and Wyoming with related asset acquisitions</t>
  </si>
  <si>
    <t>Barings Corporate Investors (NYSE:MCI)</t>
  </si>
  <si>
    <t>NYSE:MCI</t>
  </si>
  <si>
    <t>Financials / Asset Management — Closed-end investment company investing mainly in corporate debt and equity securities</t>
  </si>
  <si>
    <t>Firan Technology Group Corporation (TSX:FTG)</t>
  </si>
  <si>
    <t>TSX:FTG</t>
  </si>
  <si>
    <t>Industrials / Aerospace &amp; Defense — Aerospace and defense electronics supplier making printed circuit boards and cockpit avionics hardware</t>
  </si>
  <si>
    <t>BioSyent Inc. (TSXV:RX)</t>
  </si>
  <si>
    <t>TSXV:RX</t>
  </si>
  <si>
    <t>Healthcare / Specialty Pharma — Specialty healthcare company sourcing, licensing, and developing pharmaceutical, oral health, and insecticide products in Canada and select international mar...</t>
  </si>
  <si>
    <t>Cracker Barrel Old Country Store, Inc. (NasdaqGS:CBRL)</t>
  </si>
  <si>
    <t>NasdaqGS:CBRL</t>
  </si>
  <si>
    <t>Consumer Discretionary / Restaurants — Family dining and retail chain selling homestyle meals, gifts, and country-store merchandise across the U.S.</t>
  </si>
  <si>
    <t>Electromed, Inc. (NYSEAM:ELMD)</t>
  </si>
  <si>
    <t>NYSEAM:ELMD</t>
  </si>
  <si>
    <t>Healthcare / Medical Devices — Designs and sells airway clearance therapy systems for patients with chronic lung conditions</t>
  </si>
  <si>
    <t>Willis Lease Finance Corporation (NasdaqGM:WLFC)</t>
  </si>
  <si>
    <t>NasdaqGM:WLFC</t>
  </si>
  <si>
    <t>Industrials / Aircraft Leasing — Aircraft engine leasing, maintenance, and related services for airlines worldwide</t>
  </si>
  <si>
    <t>Forrester Research, Inc. (NasdaqGS:FORR)</t>
  </si>
  <si>
    <t>NasdaqGS:FORR</t>
  </si>
  <si>
    <t>Market Research / Advisory — Global independent research and advisory firm for technology, customer experience, digital, marketing, sales, and product leaders</t>
  </si>
  <si>
    <t>The E.W. Scripps Company (NasdaqGS:SSP)</t>
  </si>
  <si>
    <t>NasdaqGS:SSP</t>
  </si>
  <si>
    <t>Communication Services / Broadcasting — Local television stations, national news, and entertainment networks across U.S. markets</t>
  </si>
  <si>
    <t>ENB Financial Corp (OTCPK:ENBP)</t>
  </si>
  <si>
    <t>OTCPK:ENBP</t>
  </si>
  <si>
    <t>Banking / Community Banks — Holding company for Ephrata National Bank serving retail and commercial customers in Pennsylvania and Maryland</t>
  </si>
  <si>
    <t>Regional Management Corp. (NYSE:RM)</t>
  </si>
  <si>
    <t>NYSE:RM</t>
  </si>
  <si>
    <t>Financials / Specialty Finance — Consumer specialty finance lender providing installment loans and related credit products in the United States</t>
  </si>
  <si>
    <t>Green Dot Corporation (NYSE:GDOT)</t>
  </si>
  <si>
    <t>NYSE:GDOT</t>
  </si>
  <si>
    <t>Financial Technology / Banking — Financial technology and bank holding company offering debit, checking, prepaid, payroll, BaaS, and money movement services</t>
  </si>
  <si>
    <t>Acadian Timber Corp. (TSX:ADN)</t>
  </si>
  <si>
    <t>TSX:ADN</t>
  </si>
  <si>
    <t>Materials / Forestry — Timberland ownership and forest products management in Eastern Canada and the northeastern U.S.</t>
  </si>
  <si>
    <t>Designer Brands Inc. (NYSE:DBI)</t>
  </si>
  <si>
    <t>NYSE:DBI</t>
  </si>
  <si>
    <t>Consumer Discretionary / Apparel — Designs, sources, wholesales, and retails footwear and accessories across North America</t>
  </si>
  <si>
    <t>Apogee Enterprises, Inc. (NasdaqGS:APOG)</t>
  </si>
  <si>
    <t>NasdaqGS:APOG</t>
  </si>
  <si>
    <t>Industrials / Building Products — Leading provider of architectural building products and high-performance coated materials</t>
  </si>
  <si>
    <t>Movado Group, Inc. (NYSE:MOV)</t>
  </si>
  <si>
    <t>NYSE:MOV</t>
  </si>
  <si>
    <t>Consumer Discretionary / Apparel — Designs, sources, and globally distributes watches, jewelry, and accessories under luxury and fashion brands</t>
  </si>
  <si>
    <t>Camping World Holdings, Inc. (NYSE:CWH)</t>
  </si>
  <si>
    <t>NYSE:CWH</t>
  </si>
  <si>
    <t>Consumer Discretionary / Specialty Retail — World's largest retailer of RVs and related products and services across U.S. dealerships and service centers</t>
  </si>
  <si>
    <t>Core Molding Technologies, Inc. (NYSEAM:CMT)</t>
  </si>
  <si>
    <t>NYSEAM:CMT</t>
  </si>
  <si>
    <t>Materials / Plastics — Engineered thermoplastic and thermoset molding for structural parts in truck, powersports, building, utilities, and agricultural markets</t>
  </si>
  <si>
    <t>United Bancorp, Inc. (NasdaqCM:UBCP)</t>
  </si>
  <si>
    <t>NasdaqCM:UBCP</t>
  </si>
  <si>
    <t>Banking / Community Banks — Bank holding company for Unified Bank, serving retail and commercial customers in Ohio and West Virginia</t>
  </si>
  <si>
    <t>Harford Bank (OTCPK:HFBK)</t>
  </si>
  <si>
    <t>OTCPK:HFBK</t>
  </si>
  <si>
    <t>Banking / Community Banks — Community bank providing personal and business deposit, lending, and online banking services in Maryland</t>
  </si>
  <si>
    <t>Consumers Bancorp, Inc. (OTCPK:CBKM)</t>
  </si>
  <si>
    <t>OTCPK:CBKM</t>
  </si>
  <si>
    <t>Banking / Community Banks — Holding company for Consumers National Bank, a community bank serving eastern Ohio</t>
  </si>
  <si>
    <t>Epsilon Energy Ltd. (NasdaqGM:EPSN)</t>
  </si>
  <si>
    <t>NasdaqGM:EPSN</t>
  </si>
  <si>
    <t>Energy / Oil &amp; Gas E&amp;P — Natural gas and crude oil exploration, development, and production in the United States and Canada</t>
  </si>
  <si>
    <t>Universal Logistics Holdings, Inc. (NasdaqGS:ULH)</t>
  </si>
  <si>
    <t>NasdaqGS:ULH</t>
  </si>
  <si>
    <t>Industrials / Logistics — North American transportation, drayage, intermodal, and contract logistics services provider</t>
  </si>
  <si>
    <t>Citizens Financial Corp. (OTCPK:CIWV)</t>
  </si>
  <si>
    <t>OTCPK:CIWV</t>
  </si>
  <si>
    <t>Banking / Commercial Banks — Bank holding company offering retail, commercial, private banking, wealth management, and lending services</t>
  </si>
  <si>
    <t>Cipher Pharmaceuticals Inc. (TSX:CPH)</t>
  </si>
  <si>
    <t>TSX:CPH</t>
  </si>
  <si>
    <t>Healthcare / Pharmaceuticals — Specialty pharmaceutical company developing, acquiring, marketing, and distributing prescription products in North America</t>
  </si>
  <si>
    <t>Where Food Comes From, Inc. (NasdaqCM:WFCF)</t>
  </si>
  <si>
    <t>NasdaqCM:WFCF</t>
  </si>
  <si>
    <t>Consumer Services / Food Safety &amp; Traceability — Food traceability and certification services for livestock, poultry, and produce supply chains</t>
  </si>
  <si>
    <t>Preferred Bank (NasdaqGS:PFBC)</t>
  </si>
  <si>
    <t>NasdaqGS:PFBC</t>
  </si>
  <si>
    <t>Banking / Community Banks — Commercial banking and lending services for small businesses and individuals in Southern California and New York</t>
  </si>
  <si>
    <t>PHX Energy Services Corp. (TSX:PHX)</t>
  </si>
  <si>
    <t>TSX:PHX</t>
  </si>
  <si>
    <t>Energy / Oil &amp; Gas Services — Directional drilling and drilling optimization services for oil and gas wells in North America</t>
  </si>
  <si>
    <t>Oil-Dri Corporation of America (NYSE:ODC)</t>
  </si>
  <si>
    <t>NYSE:ODC</t>
  </si>
  <si>
    <t>Materials / Specialty Chemicals — Manufactures sorbent products, cat litter, and purification materials for retail, agricultural, industrial, and automotive markets</t>
  </si>
  <si>
    <t>Vitreous Glass Inc. (TSXV:VCI)</t>
  </si>
  <si>
    <t>TSXV:VCI</t>
  </si>
  <si>
    <t>Materials / Recycling — Waste glass processing and recycling for fiberglass insulation manufacturers in western Canada</t>
  </si>
  <si>
    <t>North American Construction Group Ltd. (TSX:NOA)</t>
  </si>
  <si>
    <t>TSX:NOA</t>
  </si>
  <si>
    <t>Industrials / Construction — Heavy construction and equipment services for mining, earthworks, reclamation, and project management</t>
  </si>
  <si>
    <t>Cashmere Valley Bank (OTCPK:CSHX)</t>
  </si>
  <si>
    <t>OTCPK:CSHX</t>
  </si>
  <si>
    <t>Banking / Community Banks — Community bank providing personal and business banking services in Central Washington.</t>
  </si>
  <si>
    <t>El Pollo Loco Holdings, Inc. (NasdaqGS:LOCO)</t>
  </si>
  <si>
    <t>NasdaqGS:LOCO</t>
  </si>
  <si>
    <t>Consumer Discretionary / Restaurants — Fire-grilled chicken restaurant chain serving Mexican-inspired meals across the U.S. and the Philippines</t>
  </si>
  <si>
    <t>Marine Products Corporation (NYSE:MPX)</t>
  </si>
  <si>
    <t>NYSE:MPX</t>
  </si>
  <si>
    <t>Consumer Discretionary / Recreational Vehicles — Manufacturer of fiberglass recreational powerboats for freshwater and saltwater markets in the U.S.</t>
  </si>
  <si>
    <t>Andrew Peller Limited (TSX:ADW.A)</t>
  </si>
  <si>
    <t>TSX:ADW.A</t>
  </si>
  <si>
    <t>Consumer Staples / Beverages — Produces and markets wines, spirits, ciders, seltzers, and home winemaking products in Canada.</t>
  </si>
  <si>
    <t>Unity Bancorp, Inc. (NasdaqGM:UNTY)</t>
  </si>
  <si>
    <t>NasdaqGM:UNTY</t>
  </si>
  <si>
    <t>Banking / Community Banks — Holding company for Unity Bank, serving retail, corporate, and small business customers in New Jersey and Pennsylvania</t>
  </si>
  <si>
    <t>Dimeco, Inc. (OTCPK:DIMC)</t>
  </si>
  <si>
    <t>OTCPK:DIMC</t>
  </si>
  <si>
    <t>Banking / Community Banks — Community bank providing personal and business banking services across New York City and Long Island</t>
  </si>
  <si>
    <t>JD Bancshares, Inc. (OTCPK:JDVB)</t>
  </si>
  <si>
    <t>OTCPK:JDVB</t>
  </si>
  <si>
    <t>Banking / Community Banks — Holding company for JD Bank, a southwest Louisiana community bank offering lending, deposits, trust, and investment services.</t>
  </si>
  <si>
    <t>Vecima Networks Inc. (TSX:VCM)</t>
  </si>
  <si>
    <t>TSX:VCM</t>
  </si>
  <si>
    <t>Technology / Communications Equipment — Broadband access, video streaming, and content delivery platforms for telecom and cable operators</t>
  </si>
  <si>
    <t>Century Financial Corporation (OTCPK:CYFL)</t>
  </si>
  <si>
    <t>OTCPK:CYFL</t>
  </si>
  <si>
    <t>Banking / Community Banks — Bank holding company for a community bank in Coldwater, Michigan</t>
  </si>
  <si>
    <t>Kronos Worldwide, Inc. (NYSE:KRO)</t>
  </si>
  <si>
    <t>NYSE:KRO</t>
  </si>
  <si>
    <t>Materials / Chemicals — Global producer and marketer of titanium dioxide pigments for coatings, plastics, paper, inks, pharma, and cosmetics</t>
  </si>
  <si>
    <t>Spectra Systems Corporation (AIM:SPSY)</t>
  </si>
  <si>
    <t>AIM:SPSY</t>
  </si>
  <si>
    <t>Technology / Software — Hotel management software and cloud booking solutions for hospitality operators</t>
  </si>
  <si>
    <t>Winnebago Industries, Inc. (NYSE:WGO)</t>
  </si>
  <si>
    <t>NYSE:WGO</t>
  </si>
  <si>
    <t>Consumer Discretionary / Recreational Vehicles — Manufactures RVs, campers, and marine boats for North American outdoor recreation markets</t>
  </si>
  <si>
    <t>Citi Trends, Inc. (NasdaqGS:CTRN)</t>
  </si>
  <si>
    <t>NasdaqGS:CTRN</t>
  </si>
  <si>
    <t>Consumer Discretionary / Apparel — Off-price retailer of apparel, accessories and home goods for value-conscious families</t>
  </si>
  <si>
    <t>Richards Group Inc. (TSX:RIC)</t>
  </si>
  <si>
    <t>TSX:RIC</t>
  </si>
  <si>
    <t>Consumer Discretionary / Packaging — North American distributor and OEM provider of packaging containers plus healthcare devices and supplies</t>
  </si>
  <si>
    <t>Value Line, Inc. (NasdaqCM:VALU)</t>
  </si>
  <si>
    <t>NasdaqCM:VALU</t>
  </si>
  <si>
    <t>Financial Services / Investment Advice — Investment research publishing, financial data products, and newsletter services for individual investors</t>
  </si>
  <si>
    <t>Johnson Outdoors Inc. (NasdaqGS:JOUT)</t>
  </si>
  <si>
    <t>NasdaqGS:JOUT</t>
  </si>
  <si>
    <t>Consumer Discretionary / Leisure Products — Designs, manufactures, and markets outdoor recreation equipment for watercraft, fishing, diving, and camping.</t>
  </si>
  <si>
    <t>Pizza Pizza Royalty Corp. (TSX:PZA)</t>
  </si>
  <si>
    <t>TSX:PZA</t>
  </si>
  <si>
    <t>Consumer Discretionary / Restaurants — Royalty company earning trademark and franchise fees from Pizza Pizza and Pizza 73 restaurants in Canada</t>
  </si>
  <si>
    <t>G-III Apparel Group, Ltd. (NasdaqGS:GIII)</t>
  </si>
  <si>
    <t>NasdaqGS:GIII</t>
  </si>
  <si>
    <t>Consumer Discretionary / Apparel — Designs, sources, and markets licensed and owned apparel, accessories, and retail brands</t>
  </si>
  <si>
    <t>McCoy Global Inc. (TSX:MCB)</t>
  </si>
  <si>
    <t>TSX:MCB</t>
  </si>
  <si>
    <t>Energy / Oil &amp; Gas Equipment &amp; Services — Well construction equipment and digital technologies for tubular running and wellbore integrity</t>
  </si>
  <si>
    <t>Escalade, Incorporated (NasdaqGM:ESCA)</t>
  </si>
  <si>
    <t>NasdaqGM:ESCA</t>
  </si>
  <si>
    <t>Consumer Discretionary / Sporting Goods — Manufacturer of consumer sporting goods and recreational products across basketball, archery, table tennis, pickleball, and game-room categories</t>
  </si>
  <si>
    <t>Southern Michigan Bancorp, Inc. (OTCPK:SOMC)</t>
  </si>
  <si>
    <t>OTCPK:SOMC</t>
  </si>
  <si>
    <t>Banking / Community Banks — Holding company for Southern Michigan Bank &amp; Trust, serving retail and commercial customers in southern Michigan</t>
  </si>
  <si>
    <t>Gamehost Inc. (TSX:GH)</t>
  </si>
  <si>
    <t>TSX:GH</t>
  </si>
  <si>
    <t>Consumer Discretionary / Casinos &amp; Gaming — Operates casinos, hotels, and food-and-beverage venues across Alberta, Canada</t>
  </si>
  <si>
    <t>MarineMax, Inc. (NYSE:HZO)</t>
  </si>
  <si>
    <t>NYSE:HZO</t>
  </si>
  <si>
    <t>Consumer Discretionary / Specialty Retail — Retailer of new and used boats, yachts, marina services, and boating lifestyle products</t>
  </si>
  <si>
    <t>American Woodmark Corporation (NasdaqGS:AMWD)</t>
  </si>
  <si>
    <t>NasdaqGS:AMWD</t>
  </si>
  <si>
    <t>Consumer Discretionary / Homebuilding Products — Manufactures kitchen cabinets, bathroom vanities, and related cabinetry products for U.S. homebuilders and remodelers</t>
  </si>
  <si>
    <t>Parke Bancorp, Inc. (NasdaqCM:PKBK)</t>
  </si>
  <si>
    <t>NasdaqCM:PKBK</t>
  </si>
  <si>
    <t>Banking / Community Banks — Holding company for Parke Bank, a New Jersey community bank serving South Jersey customers</t>
  </si>
  <si>
    <t>Angi Inc. (NasdaqGS:ANGI)</t>
  </si>
  <si>
    <t>NasdaqGS:ANGI</t>
  </si>
  <si>
    <t>Communication Services / Internet Content &amp; Information — Online marketplace connecting homeowners with local home-service professionals across U.S. markets</t>
  </si>
  <si>
    <t>RCI Hospitality Holdings, Inc. (NasdaqGM:RICK)</t>
  </si>
  <si>
    <t>NasdaqGM:RICK</t>
  </si>
  <si>
    <t>Consumer Discretionary / Hospitality — Operates gentlemen's clubs, restaurants, and nightclubs across the United States</t>
  </si>
  <si>
    <t>Guardian Capital Group Limited (TSX:GCG.A)</t>
  </si>
  <si>
    <t>TSX:GCG.A</t>
  </si>
  <si>
    <t>Financial Services / Asset Management — Global investment management services for institutional, retail, and private wealth clients</t>
  </si>
  <si>
    <t>Bank of the James Financial Group, Inc. (NasdaqCM:BOTJ)</t>
  </si>
  <si>
    <t>NasdaqCM:BOTJ</t>
  </si>
  <si>
    <t>Banking / Community Banks — Holding company for a locally owned community bank serving Central Virginia individuals and businesses</t>
  </si>
  <si>
    <t>FFB Bancorp (OTCPK:FFBB)</t>
  </si>
  <si>
    <t>OTCPK:FFBB</t>
  </si>
  <si>
    <t>Banking / Community Banks — Bank holding company for FFB Bank serving California’s Central Valley with personal and business banking, SBA lending, and payment services</t>
  </si>
  <si>
    <t>Security Federal Corporation (OTCPK:SFDL)</t>
  </si>
  <si>
    <t>OTCPK:SFDL</t>
  </si>
  <si>
    <t>Banking / Community Banks — Holding company for Security Federal Bank, a South Carolina community bank offering retail and mortgage banking services</t>
  </si>
  <si>
    <t>AdvanSix Inc. (NYSE:ASIX)</t>
  </si>
  <si>
    <t>NYSE:ASIX</t>
  </si>
  <si>
    <t>Materials / Chemicals — Vertically integrated chemical manufacturer of plant nutrients, chemical intermediates, and nylon solutions</t>
  </si>
  <si>
    <t>Amalgamated Financial Corp. (NasdaqGM:AMAL)</t>
  </si>
  <si>
    <t>NasdaqGM:AMAL</t>
  </si>
  <si>
    <t>Banking / Community Banks — Holding company for Amalgamated Bank, providing commercial banking and trust services in U.S. cities</t>
  </si>
  <si>
    <t>Medallion Financial Corp. (NasdaqGS:MFIN)</t>
  </si>
  <si>
    <t>NasdaqGS:MFIN</t>
  </si>
  <si>
    <t>Financials / Specialty Finance — Specialty finance company originating consumer lending and small-business loans, plus taxis and fleet financing</t>
  </si>
  <si>
    <t>American Public Education, Inc. (NasdaqGS:APEI)</t>
  </si>
  <si>
    <t>NasdaqGS:APEI</t>
  </si>
  <si>
    <t>Consumer Discretionary / Education Services — Online and campus-based postsecondary education for military, healthcare, and working-adult students across the U.S.</t>
  </si>
  <si>
    <t>Citizens Bancorp of Virginia, Inc. (OTCPK:CZBT)</t>
  </si>
  <si>
    <t>OTCPK:CZBT</t>
  </si>
  <si>
    <t>Banking / Community Banks — Community bank offering retail, commercial, mortgage, and trust services in Virginia</t>
  </si>
  <si>
    <t>Pinnacle Bancshares, Inc. (OTCPK:PCLB)</t>
  </si>
  <si>
    <t>OTCPK:PCLB</t>
  </si>
  <si>
    <t>Banking / Community Banks — Locally owned community bank in Georgia offering personal and mortgage banking services</t>
  </si>
  <si>
    <t>Truxton Corporation (OTCPK:TRUX)</t>
  </si>
  <si>
    <t>OTCPK:TRUX</t>
  </si>
  <si>
    <t>Financial Services / Wealth Management — Wealth management, private banking, and investment services for high-net-worth families and institutions</t>
  </si>
  <si>
    <t>Bonterra Energy Corp. (TSX:BNE)</t>
  </si>
  <si>
    <t>TSX:BNE</t>
  </si>
  <si>
    <t>Energy / Oil &amp; Gas E&amp;P — Conventional oil and gas development across Alberta’s Charlie Lake, Montney, and Cardium plays</t>
  </si>
  <si>
    <t>High Liner Foods Incorporated (TSX:HLF)</t>
  </si>
  <si>
    <t>TSX:HLF</t>
  </si>
  <si>
    <t>Consumer Defensive / Packaged Foods — Processes and markets frozen seafood products for retail, club, foodservice, and institutional customers.</t>
  </si>
  <si>
    <t>Southern BancShares (N.C.), Inc. (OTCPK:SBNC)</t>
  </si>
  <si>
    <t>OTCPK:SBNC</t>
  </si>
  <si>
    <t>Banking / Community Banks — Community bank serving families and small businesses across North Carolina and Virginia</t>
  </si>
  <si>
    <t>Pason Systems Inc. (TSX:PSI)</t>
  </si>
  <si>
    <t>TSX:PSI</t>
  </si>
  <si>
    <t>Energy / Oil &amp; Gas Services — Global provider of drilling rig data acquisition, remote communications, and web-based reporting systems</t>
  </si>
  <si>
    <t>The First Bancorp, Inc. (NasdaqGS:FNLC)</t>
  </si>
  <si>
    <t>NasdaqGS:FNLC</t>
  </si>
  <si>
    <t>Banking / Community Banks — Holding company for First National Bank, offering community banking and wealth services across Maine.</t>
  </si>
  <si>
    <t>Build-A-Bear Workshop, Inc. (NYSE:BBW)</t>
  </si>
  <si>
    <t>NYSE:BBW</t>
  </si>
  <si>
    <t>Consumer Discretionary / Specialty Retail — Global retailtainment brand creating customized plush toys, gifts, and licensed collectibles in stores and online</t>
  </si>
  <si>
    <t>Genesco Inc. (NYSE:GCO)</t>
  </si>
  <si>
    <t>NYSE:GCO</t>
  </si>
  <si>
    <t>Consumer Discretionary / Apparel — Retailer and wholesaler of footwear and accessories through Journeys, Schuh, Johnston &amp; Murphy, and other banners</t>
  </si>
  <si>
    <t>AMN Healthcare Services, Inc. (NYSE:AMN)</t>
  </si>
  <si>
    <t>NYSE:AMN</t>
  </si>
  <si>
    <t>Healthcare Services — Healthcare staffing, workforce solutions, and talent management for U.S. providers</t>
  </si>
  <si>
    <t>Middlesex Water Company (NasdaqGS:MSEX)</t>
  </si>
  <si>
    <t>NasdaqGS:MSEX</t>
  </si>
  <si>
    <t>Utilities / Water — Regulated water and wastewater utility services in New Jersey and Delaware</t>
  </si>
  <si>
    <t>eGain Corporation (NasdaqCM:EGAN)</t>
  </si>
  <si>
    <t>NasdaqCM:EGAN</t>
  </si>
  <si>
    <t>Software / IT / SaaS — AI-powered knowledge management and customer experience automation software for enterprises and government</t>
  </si>
  <si>
    <t>Douglas Dynamics, Inc. (NYSE:PLOW)</t>
  </si>
  <si>
    <t>NYSE:PLOW</t>
  </si>
  <si>
    <t>Industrials / Specialty Equipment — Manufacturer and upfitter of work truck attachments and snow and ice control equipment in North America</t>
  </si>
  <si>
    <t>Virtus Investment Partners, Inc. (NYSE:VRTS)</t>
  </si>
  <si>
    <t>NYSE:VRTS</t>
  </si>
  <si>
    <t>Asset Management / Investment Advisers — Multiboutique asset manager offering investment products and advisory services across public and private markets</t>
  </si>
  <si>
    <t>Titan Machinery Inc. (NasdaqGS:TITN)</t>
  </si>
  <si>
    <t>NasdaqGS:TITN</t>
  </si>
  <si>
    <t>Industrials / Agricultural &amp; Construction Equipment — Full-service agricultural and construction equipment dealerships and parts/service network across North America, Europe, and Australia</t>
  </si>
  <si>
    <t>Dynacor Group Inc. (TSX:DNG)</t>
  </si>
  <si>
    <t>TSX:DNG</t>
  </si>
  <si>
    <t>Materials / Mining — Ore-processing company producing gold from artisanal miners in Peru and expanding internationally</t>
  </si>
  <si>
    <t>Southeastern Banking Corporation (OTCPK:SEBC)</t>
  </si>
  <si>
    <t>OTCPK:SEBC</t>
  </si>
  <si>
    <t>Banking / Community Banks — Holding company for Southeastern Bank offering retail and commercial banking in Georgia and northeast Florida</t>
  </si>
  <si>
    <t>Jeffersonville Bancorp (OTCPK:JFBC)</t>
  </si>
  <si>
    <t>OTCPK:JFBC</t>
  </si>
  <si>
    <t>Banking / Community Banks — Bank holding company owning Jeff Bank, a community bank serving individuals and businesses in New York</t>
  </si>
  <si>
    <t>CNB Corporation (OTCPK:CNBZ)</t>
  </si>
  <si>
    <t>OTCPK:CNBZ</t>
  </si>
  <si>
    <t>Banking / Community Banks — Community bank holding company serving customers through CNB Bank in northern Michigan</t>
  </si>
  <si>
    <t>Dave &amp; Buster's Entertainment, Inc. (NasdaqGS:PLAY)</t>
  </si>
  <si>
    <t>NasdaqGS:PLAY</t>
  </si>
  <si>
    <t>Consumer Discretionary / Leisure — Operates entertainment venues with arcade games, sports viewing, and food-and-drink service</t>
  </si>
  <si>
    <t>Martinrea International Inc. (TSX:MRE)</t>
  </si>
  <si>
    <t>TSX:MRE</t>
  </si>
  <si>
    <t>Automotive / Suppliers — Global automotive supplier designing and manufacturing lightweight structures and propulsion systems</t>
  </si>
  <si>
    <t>W.T.B. Financial Corporation (OTCPK:WTBF.B)</t>
  </si>
  <si>
    <t>OTCPK:WTBF.B</t>
  </si>
  <si>
    <t>Banking / Community Banks — Holding company for a U.S. community bank providing deposits, loans, and related banking services</t>
  </si>
  <si>
    <t>Investment Thesis — Qualitative Research Summary</t>
  </si>
  <si>
    <t>Business Description</t>
  </si>
  <si>
    <t>Competitive Position</t>
  </si>
  <si>
    <t>Main Shareholders</t>
  </si>
  <si>
    <t>Red Flags</t>
  </si>
  <si>
    <t>Website</t>
  </si>
  <si>
    <t>Holding company for Farmers &amp; Merchants Bank of Central California, serving retail and commercial customers in Central California.</t>
  </si>
  <si>
    <t>Farmers &amp; Merchants Bancorp, Inc. operates through its investor relations platform at ir.fm.bank and appears to be a long-running community banking franchise with a heavy stream of insider ownership filings, suggesting a closely held bank with an established local shareholder base. Official IR pages captured here do not spell out branch/deposit metrics, so the clearest competitive read from the primary sources is a stable, relationship-oriented bank whose equity is actively held by insiders rather than a widely dispersed institutional base.</t>
  </si>
  <si>
    <t>Not disclosed in public filings</t>
  </si>
  <si>
    <t>The official IR filings page shows repeated Form 4 and Form 144 insider/beneficial-ownership activity, which signals concentrated insider control and ongoing insider sales activity. No 10-K or DEF 14A was visible in the captured official page content, so I could not verify whether there are additional disclosed risks from the latest annual report or proxy.</t>
  </si>
  <si>
    <t>https://ir.fm.bank/</t>
  </si>
  <si>
    <t>Maine-based community bank offering deposits, commercial real estate lending, SBA loans, and online savings</t>
  </si>
  <si>
    <t>NorthEast Community Bancorp is a niche community bank focused on construction, multifamily, mixed-use, and non-residential real estate lending in the New York metropolitan area, with additional business in the Boston metro area and a retail deposit base in its branch markets. Its competitive position appears tied to specialized real-estate underwriting and a concentrated local franchise rather than broad national scale ([NorthEast Community Bancorp 2024 Form 10-K](https://www.sec.gov/Archives/edgar/data/1847398/000155837025002975/necb-20241231x10k.htm), [NorthEast Community Bancorp 2025 Proxy/Annual Report](https://www.sec.gov/Archives/edgar/data/1847398/000110465925034213/tm252593d4_ars.pdf)).</t>
  </si>
  <si>
    <t>BlackRock, Inc. (7.6%) and NorthEast Community Bank Employee Stock Ownership Plan (9.5%) were the only &gt;5% outside holders disclosed in the 2025 proxy; the proxy also lists insiders, with Kenneth A. Martinek at 2.7% and all directors/executive officers as a group at 6.3% ([NorthEast Community Bancorp 2025 Proxy/Annual Report](https://www.sec.gov/Archives/edgar/data/1847398/000110465925034213/tm252593d4_ars.pdf)).</t>
  </si>
  <si>
    <t>The company is highly concentrated in construction and related real-estate lending, with 78.6% of the total loan portfolio in construction loans and 72.7% of total loans in four New York counties, which increases sensitivity to a slowdown in local real estate markets ([NorthEast Community Bancorp 2024 Form 10-K](https://www.sec.gov/Archives/edgar/data/1847398/000155837025002975/necb-20241231x10k.htm)). The filings also flag dependence on brokered/listing-service deposits, interest-rate risk, AML/BSA compliance risk, cybersecurity/third-party risk, and regulatory limits on construction and multifamily lending ([NorthEast Community Bancorp 2024 Form 10-K](https://www.sec.gov/Archives/edgar/data/1847398/000155837025002975/necb-20241231x10k.htm)).</t>
  </si>
  <si>
    <t>https://www.necb.com</t>
  </si>
  <si>
    <t>Global platform licensing stock photos, videos, music, vectors, illustrations, and GenAI creative tools</t>
  </si>
  <si>
    <t>Shutterstock positions itself as a diversified creative platform, describing the business as “a family of brands delivering scalable creative and GenAI solutions” that helps customers produce commercial content; that niche overlaps with Adobe Stock and Getty Images, but Shutterstock has increasingly leaned into licensed content plus AI-enabled workflows to differentiate its offering. [Shutterstock Investor Relations](https://investor.shutterstock.com/news-events/press-releases)</t>
  </si>
  <si>
    <t>The company faces meaningful competition from larger content and creative software ecosystems, and its filings emphasize ongoing pressure from AI/content licensing transitions and the need to invest in GenAI offerings. I could not verify a clean top-holder table from the company’s public materials available here, so ownership concentration and control should be checked in the latest proxy and 13D/13G filings. [Shutterstock Investor Relations](https://investor.shutterstock.com/news-events/press-releases), [Shutterstock SEC Filings](https://investor.shutterstock.com/financial-information/sec-filings)</t>
  </si>
  <si>
    <t>https://www.shutterstock.com</t>
  </si>
  <si>
    <t>Global consulting firm providing economic, financial, and strategic advisory services</t>
  </si>
  <si>
    <t>CRA International is a niche, senior-led consulting firm focused on economic litigation, management consulting, and expert advisory work for law firms, corporations, accounting firms, and governments. Its website describes it as a leading global consulting firm with analytics-driven, fact-based expertise, competing in specialized advisory and litigation-economics work rather than broad generalist consulting ([CRA About](https://www.crai.com/about/)).</t>
  </si>
  <si>
    <t>None identified from official sources. The most recent SEC filing used here is a Form 8-K, not a proxy statement, and it did not disclose ownership concerns or material governance issues; no 5% beneficial owners were found in the filing text reviewed ([SEC 8-K](https://www.sec.gov/Archives/edgar/data/1053706/000105370626000013/crai-20260507.htm)).</t>
  </si>
  <si>
    <t>https://www.crai.com/</t>
  </si>
  <si>
    <t>Holding company for Oak Valley Community Bank serving California’s Central Valley and Eastern Sierra</t>
  </si>
  <si>
    <t>Oak Valley Bancorp is the bank holding company for Oak Valley Community Bank, a California community bank that markets itself around commercial, small business, SBA, and agricultural lending in the Central Valley and surrounding markets. Its niche is a relationship-driven deposit and lending franchise in smaller California communities rather than a broad regional footprint, competing locally with larger California community banks and money-center institutions. ([Oak Valley Community Bank](https://www.ovcb.com/))</t>
  </si>
  <si>
    <t>As a community bank, the main structural risk is concentration in a limited California footprint and sensitivity to local credit conditions and deposit competition. I did not identify any specific regulatory or accounting red flags from the official source material reviewed. ([Oak Valley Community Bank](https://www.ovcb.com/))</t>
  </si>
  <si>
    <t>https://www.ovcb.com/</t>
  </si>
  <si>
    <t>Commercial banking, specialty finance, private wealth, and bank consulting for business leaders in the U.S.</t>
  </si>
  <si>
    <t>First Business Financial Services operates through First Business Bank as a niche business bank focused on business banking, private wealth, and specialty finance, with the company describing itself as a provider of “comprehensive business banking, private wealth, and bank consulting services.” [First Business Bank](https://firstbusiness.bank). Its specialty finance offering emphasizes asset-based lending for leveraged or turnaround borrowers, which positions it against regional banks and specialty lenders rather than mass-market commercial banks [First Business Bank](https://firstbusiness.bank/business-banking-services/specialty-finance-services/asset-based-lending/parameters/).</t>
  </si>
  <si>
    <t>The company’s specialty finance platform targets leveraged, inconsistent-earnings, and turnaround borrowers, which implies higher credit risk and potential concentration in stressed credits [First Business Bank](https://firstbusiness.bank/business-banking-services/specialty-finance-services/asset-based-lending/parameters/). I was not able to retrieve the relevant SEC annual report/proxy pages in this session, so I could not independently verify ownership or any additional filing-specific governance issues from the primary SEC documents.</t>
  </si>
  <si>
    <t>https://firstbusiness.bank</t>
  </si>
  <si>
    <t>Michigan community bank providing commercial, consumer, mortgage, and treasury services across local markets.</t>
  </si>
  <si>
    <t>Mercantile Bank Corporation is a Michigan-focused community bank holding company anchored by Mercantile Bank of Michigan, with a deposit-gathering franchise centered in West Michigan and broader statewide commercial banking. Its niche is serving local businesses and households rather than competing as a national lender, which positions it against regional peers such as Independent Bank Corp. and Horizon Bancorp in its core markets. [Mercantile Bank](https://www.mercbank.com), [Mercantile Bank IR Annual Meeting](https://ir.mercbank.com/events-and-presentations/event-details/2026/Annual-Meeting-of-Shareholders-2026-e-8a3Y0slK/default.aspx)</t>
  </si>
  <si>
    <t>Mercantile’s risk profile is typical of a community bank: concentration in Michigan and dependence on commercial real estate and local economic conditions create geographic and credit-cycle sensitivity. I did not identify any company-specific regulatory or accounting red flags from the official sources reviewed. [Mercantile Bank IR Annual Meeting](https://ir.mercbank.com/events-and-presentations/event-details/2026/Annual-Meeting-of-Shareholders-2026-e-8a3Y0slK/default.aspx)</t>
  </si>
  <si>
    <t>https://www.mercbank.com</t>
  </si>
  <si>
    <t>Franchises and operates quick-service and casual dining brands across Canada, the U.S., and international markets</t>
  </si>
  <si>
    <t>MTY Food Group is a multi-brand franchisor and operator with a large portfolio of restaurant concepts spanning quick-service, casual dining, and frozen dessert channels, which gives it scale and diversification across concepts and geographies. Its niche is owning and acquiring many smaller banners rather than competing as a single flagship brand, putting it in a broader competitive set against franchisors and multi-brand restaurant platforms such as Restaurant Brands International and other concept aggregators.</t>
  </si>
  <si>
    <t>None identified from official sources.</t>
  </si>
  <si>
    <t>https://www.mtyfoodgroup.com</t>
  </si>
  <si>
    <t>Direct-to-consumer metabolic health company selling coach-guided weight management plans and scientifically developed nutrition products</t>
  </si>
  <si>
    <t>Medifast is a niche metabolic health and wellness company built around its coach-guided OPTAVIA system, with science-backed products, personalized plans, and a network of independent coaches. Its positioning is differentiated by that direct-to-consumer, coach-led model, but the company itself says it faces competition from GLP-1 weight-loss medications and other weight-loss products/services, and it is trying to pivot toward metabolic health. ([Medifast IR](https://ir.medifastinc.com/news/news-details/2026/Medifast-Announces-First-Quarter-2026-Financial-Results/default.aspx), [Medifast homepage](https://www.medifastinc.com/))</t>
  </si>
  <si>
    <t>Renaissance Technologies LLC / Renaissance Technologies Holdings Corporation (6.96%); Khosla Ventures Opportunity I, LP (3.1%); VK Services, LLC / Vinod Khosla (4.0% as reported in the filing text, but the 13G indicates the holder group remains below 5% after the May 2026 share count update). ([SEC 13G/A](https://www.sec.gov/Archives/edgar/data/910329/000103738926000039/0001037389-26-000039.txt))</t>
  </si>
  <si>
    <t>Medifast reported a 34.3% year-over-year revenue decline in Q1 2026, with active earning coaches down 44.9%, showing heavy dependence on the coach network and weak client acquisition. Official risk disclosures also highlight GLP-1 competition, the challenge of maintaining and growing coaches, direct-to-consumer and supply-chain risks, product liability, regulatory exposure, and the possibility of internal control failures. ([Medifast IR](https://ir.medifastinc.com/news/news-details/2026/Medifast-Announces-First-Quarter-2026-Financial-Results/default.aspx), [SEC 10-Q/8-K](https://www.sec.gov/Archives/edgar/data/910329/000162828026029812/med-20260504.htm))</t>
  </si>
  <si>
    <t>https://www.medifastinc.com/</t>
  </si>
  <si>
    <t>Holding company for Greene County Bank, serving retail and commercial customers in New York</t>
  </si>
  <si>
    <t>Greene County Bancorp, Inc. is the holding company for Bank of Greene County, a Hudson Valley community bank with a deposit-focused franchise in Greene and surrounding counties in New York. Its niche is local relationship banking and branch-based retail/commercial deposit gathering rather than competing as a large regional bank; the company emphasizes community lending, deposits, and local market presence in its filings and investor materials.</t>
  </si>
  <si>
    <t>https://www.tbogc.com</t>
  </si>
  <si>
    <t>Worldwide supplier of first aid, cutting, sharpening, and measuring products for home, office, industrial, and retail markets.</t>
  </si>
  <si>
    <t>Acme United is a niche branded supplier of cutting, measuring, first aid, and sharpening products, with a broad portfolio sold through school, home, office, hardware, sporting goods, and industrial channels. Its position is anchored by established brands such as First Aid Only, Westcott, Clauss, and DMT, which compete in fragmented categories rather than against a single dominant rival ([Acme United About Us](https://acmeunited.com/company/about/)).</t>
  </si>
  <si>
    <t>No material red flags were identified from the official sources reviewed. The latest filing index available in the public SEC materials was a 10-Q, which did not include a shareholder ownership table or specific risk-factor excerpts in the retrieved content ([SEC filing index](https://www.sec.gov/Archives/edgar/data/2098/000119312526209010/0001193125-26-209010-index.htm), [SEC filing text](https://www.sec.gov/Archives/edgar/data/2098/000119312526209010/0001193125-26-209010.txt)).</t>
  </si>
  <si>
    <t>https://acmeunited.com</t>
  </si>
  <si>
    <t>Holding company for Bank of the Sierra, serving California communities with commercial and consumer banking</t>
  </si>
  <si>
    <t>Sierra Bancorp operates through Bank of the Sierra, a community-centric regional bank that says it is the largest independent bank headquartered in California’s South San Joaquin Valley, with branches across Tulare, Kern, Fresno, Kings, Ventura, San Luis Obispo, and Santa Barbara counties and specialty agricultural and SBA lending centers ([Sierra Bancorp](https://www.sierrabancorp.com)). That footprint and focus position it as a local deposit-franchise bank serving Central California communities rather than a large national competitor ([Sierra Bancorp](https://www.sierrabancorp.com)).</t>
  </si>
  <si>
    <t>The primary concentration risk is geographic: the franchise is heavily tied to California’s South San Joaquin Valley and adjacent counties, so local economic or credit stress could affect performance ([Sierra Bancorp](https://www.sierrabancorp.com)). No material governance or accounting red flags were identified from the official sources reviewed ([SEC filing index](https://www.sec.gov/Archives/edgar/data/1130144/000113014426000054/0001130144-26-000054-index.htm)).</t>
  </si>
  <si>
    <t>https://www.sierrabancorp.com</t>
  </si>
  <si>
    <t>Holding company for First Financial Bank, providing commercial, retail, and mortgage banking in Indiana and nearby states</t>
  </si>
  <si>
    <t>First Financial Corporation is the bank holding company for CFBank, a community bank franchise centered in Indiana with a long operating history and a stated position as the oldest national bank in Indiana and the fifth oldest in the United States. Its niche is a traditional deposit-and-lending franchise in its core markets, competing primarily with other community and regional banks rather than national money-center banks ([First Financial Corporation investor relations](https://investor.first-online.bank/overview/default.aspx), [SEC filing index](https://www.sec.gov/Archives/edgar/data/714562/000071456226000038/0000714562-26-000038-index.html)).</t>
  </si>
  <si>
    <t>No material red flags were identified from the official sources reviewed; however, as a community bank, results are inherently exposed to credit concentration, interest-rate sensitivity, and local-market dependence ([First Financial Corporation investor relations](https://investor.first-online.bank/overview/default.aspx), [SEC filing index](https://www.sec.gov/Archives/edgar/data/714562/000071456226000038/0000714562-26-000038-index.html)).</t>
  </si>
  <si>
    <t>https://investor.first-online.bank/</t>
  </si>
  <si>
    <t>Trust, custody, and wealth-administration services for registered plans and corporate clients in Canada</t>
  </si>
  <si>
    <t>Olympia Financial Group is a niche Canadian financial services provider centered on Olympia Trust Company, a non-deposit-taking trust company that administers self-directed registered plans, corporate trust, and transfer agency services across several provinces; it also offers health spending and payments/FX services through subsidiaries. Its position appears differentiated by this bundled trust-and-adjacent-services platform rather than by a mass retail banking franchise, with competition coming from other trust/corporate services providers and larger financial institutions offering overlapping plan administration and transfer-agent services ([Olympia Financial Group](https://www.olympiafinancial.com), [Olympia Financial Group Q1 2026 Results](https://ir.olympiafinancial.com/news/news-details/2026/Olympia-Financial-Group-Inc--Announces-First-Quarter-2026-Results/default.aspx)).</t>
  </si>
  <si>
    <t>Olympia relies heavily on Olympia Trust Company for most operations, so the business is concentrated in one subsidiary and exposed to regulatory, technology/security, and execution risks. Its own forward-looking disclosures highlight dependence on market conditions, changes in government regulation, judicial/regulatory proceedings, and computer failure or security breaches ([Olympia Financial Group Q1 2026 Results](https://ir.olympiafinancial.com/news/news-details/2026/Olympia-Financial-Group-Inc--Announces-First-Quarter-2026-Results/default.aspx)).</t>
  </si>
  <si>
    <t>https://www.olympiafinancial.com</t>
  </si>
  <si>
    <t>Property and casualty insurer offering auto, home, and business insurance in New England</t>
  </si>
  <si>
    <t>Safety Insurance Group is a regional property-and-casualty insurer focused on personal auto, homeowners, and business owners policies in Massachusetts, Maine, and New Hampshire, giving it a concentrated New England franchise rather than a broad national footprint. Its niche is the Massachusetts personal auto market, where it competes with other regional and national writers while leveraging local underwriting and distribution relationships ([Safety Insurance](https://www.safetyinsurance.com)).</t>
  </si>
  <si>
    <t>The company is exposed to geographic concentration in New England and to catastrophe, severe weather, and adverse loss development risk in its property-casualty book ([Safety Insurance](https://www.safetyinsurance.com)). None identified from official sources beyond normal insurer underwriting and reserve risk disclosures ([Safety Insurance](https://www.safetyinsurance.com)).</t>
  </si>
  <si>
    <t>https://www.safetyinsurance.com</t>
  </si>
  <si>
    <t>Holding company for Peoples Bank providing commercial and consumer banking across North Carolina</t>
  </si>
  <si>
    <t>Peoples Bancorp of North Carolina operates as a community bank through Peoples Bank, emphasizing local relationships, personalized service, and local decision-making in its markets rather than competing as a large regional platform. Its website positions it against nationwide banks and credit unions by highlighting community reinvestment and small-business/home-loan lending support ([Peoples Bank](https://www.peoplesbancorp.com/why-bank-with-a-community-bank/)).</t>
  </si>
  <si>
    <t>No material red flags were identified from the official sources reviewed; the filing index did not surface governance or risk-factor text, and the company website frames the business as a traditional community bank ([SEC filing index](https://www.sec.gov/Archives/edgar/data/control/000165495426002731/0001654954-26-002731-index.htm), [Peoples Bank](https://www.peoplesbancorp.com/why-bank-with-a-community-bank/)).</t>
  </si>
  <si>
    <t>https://www.peoplesbancorp.com</t>
  </si>
  <si>
    <t>Originates and manages commercial real estate mortgage loans and related debt investments in the United States</t>
  </si>
  <si>
    <t>ACRES Commercial Realty Corp. is a mortgage REIT that originates, invests in, and manages a diversified portfolio of commercial real estate debt, with an emphasis on transitional loans where Ares Management’s origination platform can source deal flow and underwrite through credit rather than property ownership. Its niche is competing in the middle market / transitional CRE lending space rather than broad balance-sheet banking, with disclosed financing and servicing relationships tied to the Ares platform ([SEC 10-K](https://www.sec.gov/Archives/edgar/data/1332551/000110465926052286/0001104659-26-052286-index.html), [Ares Commercial Real Estate 8-K](https://www.sec.gov/Archives/edgar/data/1529377/000162828026031611/acre-20260507.htm)).</t>
  </si>
  <si>
    <t>The main risks are concentration in commercial real estate credit, sensitivity to property values and refinancing conditions, and reliance on leverage and warehouse/funding facilities typical of a mortgage REIT. I did not identify a clean, current proxy/annual-report ownership table from the official filings available here, so ownership concentration could not be verified from public filings alone ([SEC filing index](https://www.sec.gov/Archives/edgar/data/1332551/000110465926052286/0001104659-26-052286-index.html), [SEC 8-K](https://www.sec.gov/Archives/edgar/data/1529377/000162828026031611/acre-20260507.htm)).</t>
  </si>
  <si>
    <t>https://www.acresreit.com</t>
  </si>
  <si>
    <t>Virginia-based community bank holding company providing retail, commercial, mortgage, and trust banking services</t>
  </si>
  <si>
    <t>C&amp;F Financial Corporation is a Virginia-based community banking holding company anchored by Citizens and Farmers Bank, which has served local Virginia communities since 1927, and it also operates mortgage, finance, and wealth businesses through its subsidiaries. Its niche is a diversified regional franchise rather than a single-line bank, with management highlighting local-market relationships and a multi-subsidiary model; recent company communications also show an active effort to improve net interest margin by repositioning the securities portfolio. [C&amp;F Investor Relations](https://investor.cffc.com/overview/default.aspx), [C&amp;F Financial Corporation News Release](https://investor.cffc.com/news/news-details/2026/CF-Financial-Corporation-Announces-Sale-of-Interest-in-Bearing-Insurance-Group-and-Executes-Strategic-Restructuring-of-Securities-Portfolio/default.aspx)</t>
  </si>
  <si>
    <t>The company sold its interest in Bearing Insurance Group in May 2026 and simultaneously took a securities portfolio restructuring loss, indicating a business-line exit and earnings volatility tied to balance-sheet repositioning. The company also flagged forward-looking risk that actual results may differ materially from expectations, and its public materials emphasize local Virginia concentration, which can amplify geographic and relationship-based credit and funding risk. [C&amp;F Financial Corporation News Release](https://investor.cffc.com/news/news-details/2026/CF-Financial-Corporation-Announces-Sale-of-Interest-in-Bearing-Insurance-Group-and-Executes-Strategic-Restructuring-of-Securities-Portfolio/default.aspx), [SEC 10-Q filing index](https://www.sec.gov/Archives/edgar/data/913341/000091334126000028/0000913341-26-000028-index.htm)</t>
  </si>
  <si>
    <t>https://investor.cffc.com/overview/default.aspx</t>
  </si>
  <si>
    <t>Premium outerwear, apparel, footwear, and accessories for global cold-weather and lifestyle markets</t>
  </si>
  <si>
    <t>Canada Goose is a global performance-luxury outerwear brand with a strong niche in premium cold-weather apparel, leveraging Canadian heritage, technical craftsmanship, and year-round expansion into apparel, footwear, and accessories. Management says revenue growth was supported by stronger DTC conversion, improved wholesale performance, and momentum across an expanded product offering, positioning it against premium outerwear competitors such as Moncler and The North Face in the high-end functional apparel market ([Canada Goose Investor Relations](https://investor.canadagoose.com/), [Canada Goose FY2026 Results](https://investor.canadagoose.com/news/news-details/2026/Canada-Goose-Reports-Fourth-Quarter-and-Full-Year-Fiscal-2026-Results/default.aspx)).</t>
  </si>
  <si>
    <t>The company disclosed an $8.4 million store impairment tied to underperforming locations, and its outlook highlights softer consumer demand, travel weakness, raw-material inflation, supply-chain cost pressure, and unchanged tariff assumptions. It also notes broad forward-looking uncertainty in a highly competitive and rapidly changing environment ([Canada Goose FY2026 Results](https://investor.canadagoose.com/news/news-details/2026/Canada-Goose-Reports-Fourth-Quarter-and-Full-Year-Fiscal-2026-Results/default.aspx)).</t>
  </si>
  <si>
    <t>https://investor.canadagoose.com/</t>
  </si>
  <si>
    <t>Florida-based financial holding company offering deposits, lending, mortgage banking, trust, asset management, brokerage, and merchant services</t>
  </si>
  <si>
    <t>Capital City Bank Group is a regional bank with a concentrated franchise in Florida and neighboring Southeastern markets, and its proxy materials indicate a traditional community-bank model rather than a national lending platform. Its niche is built around local deposit gathering and relationship banking, with competition coming primarily from other community/regional banks and larger national banks operating in its footprint. [Capital City Bank Group Investor Relations](https://investors.ccbg.com/sec-filings/annual-reports)</t>
  </si>
  <si>
    <t>The main risk flags from official sources are typical bank concentration and credit-cycle risks: a geographically concentrated loan and deposit franchise, sensitivity to local economic conditions, and exposure to changes in interest rates and funding costs. None identified beyond ordinary bank risks from official sources. [Capital City Bank Group Investor Relations](https://investors.ccbg.com/sec-filings/annual-reports)</t>
  </si>
  <si>
    <t>https://investors.ccbg.com</t>
  </si>
  <si>
    <t>Holding company for AmeriServ Financial Bank serving retail and commercial customers in central Pennsylvania</t>
  </si>
  <si>
    <t>AmeriServ Financial is a small regional bank centered in Johnstown, Pennsylvania, with its niche rooted in a traditional community-bank deposit franchise and lending footprint rather than scale. Its public SEC reporting shows it operates as a national commercial bank (SIC 6021), and its investor materials identify KPMG as auditor and reference an annual meeting for 2026, but I could not reliably recover a company IR page or annual report URL from the official site during this pass. [SEC filing detail](https://www.sec.gov/Archives/edgar/data/707605/000070760526000017/0000707605-26-000017-index.htm)</t>
  </si>
  <si>
    <t>A notable risk is geographic concentration: the company is heavily tied to a single local market in Johnstown, Pennsylvania, which can amplify sensitivity to local economic weakness and funding competition. I also found a filing note that one executive officer filed a Form 4 one day late when reporting shares withheld for taxes upon restricted stock vesting, but no major accounting or regulatory issue was identified in the official materials reviewed. [SEC filing detail](https://www.sec.gov/Archives/edgar/data/707605/000070760526000017/0000707605-26-000017-index.htm)</t>
  </si>
  <si>
    <t>https://www.ameriservfinancial.com</t>
  </si>
  <si>
    <t>Bio-pharmaceutical company developing and selling injectable, inhalation, intranasal, and insulin API products</t>
  </si>
  <si>
    <t>Amphastar is a specialty pharmaceutical company focused on complex injectable products, with a portfolio that includes epinephrine, naloxone, and other hospital and emergency-care medicines; its position appears to be built on difficult-to-manufacture generics and proprietary products rather than broad scale. The company competes with other generic injectable and specialty drug makers, and its niche is reflected in the mix of products and filings on its investor relations and SEC pages ([Amphastar IR](https://ir.amphastar.com), [SEC filing index](https://www.sec.gov/Archives/edgar/data/1297184/000129718426000033/0001297184-26-000033-index.html)).</t>
  </si>
  <si>
    <t>Amphastar’s filings show ongoing reliance on a concentrated set of complex injectable products and exposure to regulatory/manufacturing execution risk typical of sterile pharmaceuticals. I did not identify a specific public filing issue from the official sources reviewed, but the company’s filings emphasize that product quality, FDA compliance, and supply continuity are material risks ([Amphastar IR](https://ir.amphastar.com), [SEC filing index](https://www.sec.gov/Archives/edgar/data/1297184/000129718426000033/0001297184-26-000033-index.html)).</t>
  </si>
  <si>
    <t>https://ir.amphastar.com</t>
  </si>
  <si>
    <t>Holding company for First Fed, a community bank serving western Washington</t>
  </si>
  <si>
    <t>First Northwest Bancorp is a community bank holding company centered on its deposit franchise in the Olympic Peninsula / Washington markets, operating through First Fed and competing against other community and regional banks for local retail and commercial relationships. Its niche is relationship banking in its core geographies rather than a broad national footprint.</t>
  </si>
  <si>
    <t>The SEC filing page reviewed here is an 8-K, not the annual report/proxy, so ownership detail was not directly available from the filing page. Based on official filings accessed, no specific regulatory or accounting red flags were identified in the materials reviewed; however, the bank remains exposed to local-market concentration and interest-rate / deposit competition typical of a smaller community bank.</t>
  </si>
  <si>
    <t>https://firstnorthwest.com</t>
  </si>
  <si>
    <t>SaaS software for healthcare workforce learning, credentialing, scheduling, and clinical development</t>
  </si>
  <si>
    <t>HealthStream is a healthcare workforce software vendor whose platform spans learning, credentialing, scheduling, quality/compliance, revenue cycle, and resuscitation tools; its website says over 5,000 healthcare organizations use it and positions its learning product as healthcare’s “#1 learning platform.” ([HealthStream](https://www.healthstream.com), [HealthStream IR](https://ir.healthstream.com))</t>
  </si>
  <si>
    <t>BlackRock (10.6%), Donald Smith &amp; Co. (9.2%), T. Rowe Price Investment Management (7.0%); Vanguard Portfolio Management also reported at 5.2% in the proxy. ([HealthStream 2026 DEF 14A](https://www.sec.gov/Archives/edgar/data/1324759/000149315226021954/0001493152-26-021954-index.html))</t>
  </si>
  <si>
    <t>The company depends heavily on healthcare providers and related workforce-buying cycles, and its filings and product positioning emphasize compliance, staffing, and revenue-cycle execution risks. None identified from official sources beyond ordinary business risks disclosed in the 10-K. ([HealthStream 2026 Form 10-K filing index](https://www.sec.gov/Archives/edgar/data/1324759/000149315226021954/0001493152-26-021954-index.html), [HealthStream](https://www.healthstream.com))</t>
  </si>
  <si>
    <t>https://www.healthstream.com</t>
  </si>
  <si>
    <t>Operates regulated OTC markets, trading platforms, and market data services for U.S. and international securities</t>
  </si>
  <si>
    <t>OTC Markets Group operates regulated OTC markets and broker-dealer trading infrastructure for more than 12,000 U.S. and international securities, spanning OTC Link, Market Data Licensing, and Corporate Services ([OTC Markets Group Investor Relations](https://www.otcmarkets.com/about/investor-relations), [OTC Markets Group research report](https://www.otcmarkets.com/research-report/Li7FcJBTMHQ/contents)). Its niche is the OTC ecosystem rather than a national exchange, and the company competes with NYSE/Nasdaq listings as well as execution venues such as Global OTC, while benefiting from a high subscription-based revenue mix and strong OTCQX/OTCQB retention ([OTC Markets Group research report](https://www.otcmarkets.com/research-report/Li7FcJBTMHQ/contents)).</t>
  </si>
  <si>
    <t>T. Rowe Price Group, Inc.; Horizon Kinetics Holding Corp.; Royce &amp; Associates LP; Mr. Cromwell Coulson holds around 27% of OTCM’s voting power ([OTC Markets Group research report](https://www.otcmarkets.com/research-report/Li7FcJBTMHQ/contents)).</t>
  </si>
  <si>
    <t>The company faces competition for listings and trading flow from national exchanges and other OTC venues, and trading/revenue can be volatile when market conditions weaken or issuers graduate away from OTC markets ([OTC Markets Group research report](https://www.otcmarkets.com/research-report/Li7FcJBTMHQ/contents)). The report also notes the stock is thinly traded and illiquid relative to many exchange peers, which can increase volatility ([OTC Markets Group research report](https://www.otcmarkets.com/research-report/Li7FcJBTMHQ/contents)).</t>
  </si>
  <si>
    <t>https://www.otcmarkets.com</t>
  </si>
  <si>
    <t>Software and consulting for pharmaceutical modeling, simulation, and clinical development</t>
  </si>
  <si>
    <t>Simulations Plus is a niche life-sciences software and services company focused on physiologically based pharmacokinetic/biopharmaceutics modeling and cheminformatics, which the company says supports drug discovery and development workflows. Its position appears specialized rather than broad-based, competing in a small category against other scientific software and CRO/software vendors rather than general-purpose software firms. ([Simulations Plus investor relations](https://www.simulations-plus.com/investors/))</t>
  </si>
  <si>
    <t>The company’s own risk disclosures emphasize dependence on a relatively small set of specialized products and customers, plus the usual risks of software/IP, integration and acquisition execution, and market concentration in regulated pharma R&amp;D budgets. None identified from official sources beyond these standard filing risks. ([Simulations Plus investor relations](https://www.simulations-plus.com/investors/))</t>
  </si>
  <si>
    <t>https://www.simulations-plus.com</t>
  </si>
  <si>
    <t>Holding company for First Community Bank serving customers in South Carolina and surrounding markets</t>
  </si>
  <si>
    <t>First Community Corporation is the holding company for First Community Bank, a South Carolina community bank headquartered in Lexington, which gives it a local deposit and lending franchise rather than a national footprint. Its market position is anchored by community banking in its core South Carolina markets, and its recent share repurchase authorization suggests management views capital as excess to near-term needs. [SEC 8-K](https://www.sec.gov/Archives/edgar/data/932781/000155278126000306/e26240_fcco-8k.htm)</t>
  </si>
  <si>
    <t>No major issues were identified in the recent SEC filing reviewed, but the company does highlight standard banking sensitivities such as market and economic conditions, share-price volatility, and regulatory requirements affecting its capital actions. [SEC 8-K](https://www.sec.gov/Archives/edgar/data/932781/000155278126000306/e26240_fcco-8k.htm)</t>
  </si>
  <si>
    <t>https://www.fcco.com</t>
  </si>
  <si>
    <t>Community bank holding company offering loans and deposits in Iowa and southern Minnesota</t>
  </si>
  <si>
    <t>West Bancorporation is the holding company for West Bank, a community bank focused on commercial banking relationships in Iowa and surrounding markets, with a deposit-led franchise rather than a national lending platform ([SEC 10-Q](https://www.sec.gov/Archives/edgar/data/1166928/0001166928-25-000034-index.htm)). Its niche is relationship banking to middle-market businesses and local customers, competing primarily with other regional/community banks rather than money-center institutions ([SEC 10-Q](https://www.sec.gov/Archives/edgar/data/1166928/0001166928-25-000034-index.htm)).</t>
  </si>
  <si>
    <t>The principal risks appear to be typical bank concentration and credit risks tied to a localized lending/deposit base, with exposure to commercial real estate and broader economic conditions in its core markets ([SEC 10-Q](https://www.sec.gov/Archives/edgar/data/1166928/0001166928-25-000034-index.htm)). I was not able to verify a current proxy or 10-K ownership table from the official filings available in search results, so shareholder concentration could not be confirmed from public filings.</t>
  </si>
  <si>
    <t>https://www.westbank.com</t>
  </si>
  <si>
    <t>Bank holding company for Tri City National Bank serving consumers and businesses in southeastern Wisconsin</t>
  </si>
  <si>
    <t>Tri City Bankshares appears to be a community-bank style franchise centered on local relationship banking, with its niche defined by deposit gathering and lending tied to its local footprint rather than national scale. I could not verify market share or named peers from official sources, and the SEC/IR materials I found instead point to TriCo Bancshares/Tri Counties Bank, so the Tri City Bankshares identity itself was not cleanly verifiable from official filings.</t>
  </si>
  <si>
    <t>Not enough official-source evidence to cleanly verify the issuer as Tri City Bankshares; the official materials located instead reference TriCo Bancshares/Tri Counties Bank, which suggests a ticker/entity mismatch. For the bank issuer found in SEC materials, red flags include rising non-performing loans/assets, sizable uninsured deposits, and sensitivity to CRE and interest-rate conditions.</t>
  </si>
  <si>
    <t>https://www.tcbk.com/about/investor-relations/sec-filings</t>
  </si>
  <si>
    <t>Diversified real estate development and asset management across Western Canada and U.S. Sun Belt markets</t>
  </si>
  <si>
    <t>Melcor is an Alberta-based, vertically integrated real estate development and asset management company with a long operating history since 1923, spanning land development, properties, and golf. Its niche is focused on transforming raw land into residential and commercial communities, with a diversified footprint in Alberta plus select U.S. markets and a portfolio of mixed-use, industrial, office, retail, and golf assets ([Melcor Q1 2026 Media Release](https://www.melcor.ca/wp-content/uploads/2026/05/Melcor-Q1-2026-Media-Release.pdf)).</t>
  </si>
  <si>
    <t>Results are exposed to cyclical real estate conditions, uneven land sales, and the timing of lot registrations, which can cause significant quarter-to-quarter volatility ([Melcor Q1 2026 Media Release](https://www.melcor.ca/wp-content/uploads/2026/05/Melcor-Q1-2026-Media-Release.pdf)). Management also highlighted uncertainty around development timing and costs, plus non-cash fair-value and tax items that can materially distort reported earnings relative to underlying operations ([Melcor Q1 2026 Media Release](https://www.melcor.ca/wp-content/uploads/2026/05/Melcor-Q1 2026 Media Release.pdf)).</t>
  </si>
  <si>
    <t>https://www.melcor.ca</t>
  </si>
  <si>
    <t>Holding company for a Massachusetts community bank serving retail and commercial customers</t>
  </si>
  <si>
    <t>Holding company for Camden National Bank, serving retail and commercial banking customers in Maine.</t>
  </si>
  <si>
    <t>Camden National Corporation is the holding company for Camden National Bank, which markets itself as a Maine-focused community bank with 72 banking centers and a broad retail/commercial franchise, giving it a localized deposit base and relationship banking position in its home market ([Camden National Bank Homepage](https://www.camdennational.com), [SEC Form 8-K](https://www.sec.gov/Archives/edgar/data/750686/000075068626000031/cac-20260511.htm)). Its niche appears to be community banking across Maine rather than a national-scale model, which places it in competition with other regional and community banks for deposits, mortgages, and small-business lending ([Camden National Bank Homepage](https://www.camdennational.com)).</t>
  </si>
  <si>
    <t>The most recent official SEC filing I found is a Form 8-K noting that Executive Vice President and Chief Technology Officer William H. Martel plans to retire effective July 31, 2026, which is a modest leadership-change item but not a major issue by itself ([SEC Form 8-K](https://www.sec.gov/Archives/edgar/data/750686/000075068626000031/cac-20260511.htm)). I did not find public proxy ownership disclosures or other material red flags in the official sources reviewed; no additional concerns were identified from those sources ([SEC Form 8-K](https://www.sec.gov/Archives/edgar/data/750686/000075068626000031/cac-20260511.htm), [Camden National Bank Homepage](https://www.camdennational.com)).</t>
  </si>
  <si>
    <t>https://www.camdennational.com</t>
  </si>
  <si>
    <t>Owners, managers and developers of commercial real estate assets in Canada</t>
  </si>
  <si>
    <t>Madison Pacific Properties is a Vancouver-based real estate owner/operator with a concentrated, closely held capital structure and a portfolio spanning industrial, commercial, multi-family, retail and office properties, which positions it more as a niche local property platform than a large diversified REIT. Its March 2026 MD&amp;A says the company owns and operates properties in Canada, while the shareholder base and board control are anchored by the Madison Venture / Delcor / Heung control blocks disclosed in the proxy circular.</t>
  </si>
  <si>
    <t>Madison Venture Corporation (49.2%), Delcor Holdings Ltd. (12.4%), Raymond Heung via Vanac Development Corp. (10.7%)</t>
  </si>
  <si>
    <t>Ownership and voting control are highly concentrated in a few related control blocks, which can limit minority shareholder influence. The proxy circular does not present a separate risk section, so no major accounting or regulatory issues were identified from the cited official sources.</t>
  </si>
  <si>
    <t>https://www.madisonpacificproperties.com</t>
  </si>
  <si>
    <t>Bank holding company for QNB Bank offering commercial and retail banking in Pennsylvania</t>
  </si>
  <si>
    <t>Not enough official-source evidence was retrievable to characterize a distinct moat or market-share niche. SEC search results did not reliably surface a current QNB Corp annual report or proxy filing in this session, so I cannot substantiate a specific competitive position from primary filings.</t>
  </si>
  <si>
    <t>None identified from official sources in the materials retrieved during this session; however, I could not retrieve the company’s primary SEC filings to verify risk disclosures directly.</t>
  </si>
  <si>
    <t>https://www.qnbcorp.com</t>
  </si>
  <si>
    <t>One-bank holding company for County National Bank serving southern Michigan communities</t>
  </si>
  <si>
    <t>I could not verify a matching official issuer profile for OTCPK:CNBB in current SEC materials; the ticker string appears inconsistent with the available SEC records, which instead point to Rhinebeck Bancorp, Inc. (RBKB) and not a CNB Community Bancorp issuer. Because of that mismatch, I cannot responsibly state a niche or market position for CNB Community Bancorp from official sources.</t>
  </si>
  <si>
    <t>Ticker/issuer mismatch across official sources is a material data-quality issue, and I could not confirm a CNB Community Bancorp issuer record from SEC materials tied to OTCPK:CNBB. Until the correct legal issuer is identified, any ownership or risk assessment would be unreliable.</t>
  </si>
  <si>
    <t>Not verified from official sources</t>
  </si>
  <si>
    <t>Reservoir simulation software and consulting for upstream oil and gas and energy-transition operators</t>
  </si>
  <si>
    <t>CMG is a niche global provider of reservoir simulation and subsurface software/services for the energy sector, positioning itself around complex recovery, CO₂ storage, geothermal, and related workflows rather than broad enterprise software. Its official materials emphasize simulation technology for reservoir recovery methods and deep industry expertise, with competitors implied by the category being other reservoir-simulation vendors such as SLB’s software businesses and competing subsurface specialists.</t>
  </si>
  <si>
    <t>CMG flags execution risk from its ongoing shift toward higher software revenue, with management noting a professional-services revenue headwind in fiscal 2027 and negative organic recurring-revenue growth in the first quarter. The company also highlights active acquisition activity and dependence on global energy-industry spending, which can add integration and demand risk.</t>
  </si>
  <si>
    <t>https://www.cmgl.ca/</t>
  </si>
  <si>
    <t>Independent oil and natural gas exploration, development, and production in the United States</t>
  </si>
  <si>
    <t>PrimeEnergy Resources Corporation is a small independent oil and natural gas producer and oilfield-services operator concentrated primarily in Texas, with its own producing assets and service operations rather than a diversified multi-basin platform. Nasdaq’s company profile describes it as an independent oil and natural gas company engaged in acquiring, developing, and producing hydrocarbons and providing oilfield services, primarily in Texas ([Nasdaq](https://www.nasdaq.com/press-release/primeenergy-resources-corporation-reports-first-quarter-2026-results-generates-strong)).</t>
  </si>
  <si>
    <t>The business is highly exposed to commodity-price volatility and to concentration in a single region/commodity complex (Texas oil and gas), which can amplify operational and reserve-risk swings ([Nasdaq](https://www.nasdaq.com/press-release/primeenergy-resources-corporation-reports-first-quarter-2026-results-generates-strong)). I was not able to reliably retrieve the company’s latest SEC annual report/proxy in this session, so I could not verify any additional governance or accounting red flags from those primary filings.</t>
  </si>
  <si>
    <t>https://www.primeenergy.com</t>
  </si>
  <si>
    <t>Designs and manufactures electrical enclosures, racks, cabinets, transformers, and related components</t>
  </si>
  <si>
    <t>Hammond Manufacturing is a niche industrial manufacturer of electrical and electronic enclosures, racks, cabinets, transformers, and related power-quality products sold through a broad catalog and custom-build capability. Its position appears to come from being a long-established specialist serving OEM, industrial, utility, and data/network infrastructure customers rather than competing as a broadline commodity manufacturer; I could not verify competitor or market-share claims from the official filings I was able to access.</t>
  </si>
  <si>
    <t>https://www.hammondmfg.com</t>
  </si>
  <si>
    <t>Holding company for Oconee State Bank, a Georgia community bank serving local deposits, loans, and mortgage banking</t>
  </si>
  <si>
    <t>Not enough official-source evidence was found to confidently characterize Oconee Financial Corporation’s niche or competitive position from SEC/company materials in the available search results.</t>
  </si>
  <si>
    <t>No official-source red flags could be verified from the materials found in this search session.</t>
  </si>
  <si>
    <t>https://www.oconeefinancial.com</t>
  </si>
  <si>
    <t>Online lending marketplace connecting consumers with mortgage, personal loan, auto, and insurance offers</t>
  </si>
  <si>
    <t>LendingTree is a consumer finance marketplace rather than a direct lender: its homepage says it brings together 300+ lenders so consumers can compare loans, mortgages, insurance, credit cards, and other financial products side by side. That positioning gives it a niche as an aggregator/lead-generation platform competing with other comparison and marketplace players such as NerdWallet, Bankrate, and Credible, with the edge coming from lender breadth and consumer intent traffic. [LendingTree](https://www.lendingtree.com)</t>
  </si>
  <si>
    <t>The latest SEC filing materials available in this search did not surface a clean, company-specific red-flag excerpt; however, the company’s business depends heavily on consumer-credit and lender marketing cycles, and that marketplace model can be exposed to concentration in traffic acquisition and partner demand. [LendingTree SEC filing](https://www.sec.gov/Archives/edgar/data/1434621/000168316826004069/lending_8k.htm)</t>
  </si>
  <si>
    <t>https://www.lendingtree.com</t>
  </si>
  <si>
    <t>Holding company for Iroquois Federal Savings and Loan, serving deposit and lending customers in Illinois</t>
  </si>
  <si>
    <t>IF Bancorp is a small Illinois savings institution serving the Watseka, Illinois area through its community banking franchise, with its primary operating focus historically centered on local deposit gathering and relationship lending rather than scale. Its niche appears to be a rural/community-bank footprint in a limited geographic market, which is the type of franchise typically competing with other community banks and larger regional banks for core deposits and loans ([SEC filing](https://www.sec.gov/Archives/edgar/data/1514743/000143774926008104/0001437749-26-008104.txt)).</t>
  </si>
  <si>
    <t>The March 2026 Form 4 indicates a stock disposition tied to the merger agreement with ServBanc Holdco, Inc., suggesting the company is in a transaction process rather than operating as a steady standalone franchise ([SEC filing](https://www.sec.gov/Archives/edgar/data/1514743/000143774926008104/0001437749-26-008104.txt)). Beyond that, the official filing excerpt available to me did not surface detailed risk-factor language, so no additional red flags were identified from the sources reviewed ([SEC filing index](https://www.sec.gov/Archives/edgar/data/1514743/000143774926008104/0001437749-26-008104-index.htm)).</t>
  </si>
  <si>
    <t>Branded apparel company designing, sourcing, marketing and distributing lifestyle apparel and accessories</t>
  </si>
  <si>
    <t>Oxford Industries is a branded apparel company best known for Tommy Bahama, Lilly Pulitzer, and Johnny Was, with a portfolio positioned in lifestyle and premium casual wear rather than commodity basics ([Oxford Industries investor relations](https://investor.oxfordinc.com/news-events/press-releases?page=9)). Its scale and brand mix give it a niche versus competitors in premium lifestyle apparel such as Ralph Lauren, PVH, and Kontoor, and its filings emphasize equity-based incentives as necessary to compete for talent in the industry ([Oxford Industries proxy statement](https://www.sec.gov/Archives/edgar/data/75288/000007528826000032/oxm-20260513.htm)).</t>
  </si>
  <si>
    <t>FMR LLC (15.0%), BlackRock, Inc. (13.8%), The Vanguard Group (7.1%) ([Oxford Industries proxy statement](https://www.sec.gov/Archives/edgar/data/75288/000007528826000032/oxm-20260513.htm))</t>
  </si>
  <si>
    <t>The proxy highlights meaningful governance and capital-allocation items, including a request to authorize 750,000 additional shares under the LTIP and a compensation structure that includes multiple equity and cash elements ([Oxford Industries proxy statement](https://www.sec.gov/Archives/edgar/data/75288/000007528826000032/oxm-20260513.htm)). The company also notes tariff-related adjustments in incentive pay, which underscores exposure to import-cost volatility and margin pressure ([Oxford Industries proxy statement](https://www.sec.gov/Archives/edgar/data/75288/000007528826000032/oxm-20260513.htm)).</t>
  </si>
  <si>
    <t>https://www.oxfordinc.com</t>
  </si>
  <si>
    <t>Online automotive marketplace connecting consumers with dealers through listings, reviews, and dealer software</t>
  </si>
  <si>
    <t>Cars.com is a leading U.S. automotive marketplace with a broader dealer software and marketing ecosystem: the company says its flagship Cars.com marketplace connects millions of consumers to dealerships across the U.S., while its suite also includes Dealer Inspire, AccuTrade, DealerRater, and Cars Commerce Media. It competes most directly with CarGurus and Cox Automotive’s Autotrader/Dealer.com ecosystem, and it is pushing AI-enabled tools to deepen differentiation.</t>
  </si>
  <si>
    <t>OEM and National revenue fell 12% year-over-year in the most recent quarter due to continued OEM spending shifts, and management said this segment is expected to remain under pressure. The business also remains dependent on dealer advertising demand and marketplace traffic, so a slowdown in either can pressure revenue and growth.</t>
  </si>
  <si>
    <t>https://investor.cars.com/</t>
  </si>
  <si>
    <t>Holding company for Summit State Bank serving small- and middle-market businesses in Sonoma County, California</t>
  </si>
  <si>
    <t>Not enough official source evidence was retrievable to support a specific niche description from company filings or the company website. Summit State Bank appears to be a community bank, but I could not verify its deposit franchise, footprint, or named competitors from official sources in the available filings.</t>
  </si>
  <si>
    <t>https://www.ssbi.com</t>
  </si>
  <si>
    <t>Global medical technology company making neurosurgery, ENT, wound reconstruction, and surgical instrumentation products</t>
  </si>
  <si>
    <t>Integra LifeSciences positions itself as a global leader in medical technologies, with a broad portfolio spanning neurosurgery, wound reconstruction and care, surgical reconstruction, surgical instrumentation and lighting, and ENT ([Integra LifeSciences](https://www.integralife.com)). Its niche is in specialty surgical and regenerative-care products rather than commoditized devices, and its SEC filing breaks the business into Specialty Surgery and Tissue Reconstruction franchises ([SEC 10-Q](https://www.sec.gov/Archives/edgar/data/917520/000091752026000041/iart-20260331.htm)).</t>
  </si>
  <si>
    <t>Chen Yu / TCG Crossover II &amp; III (9.9% / 5.0% each class filings) ([SEC Schedule 13G](https://www.sec.gov/Archives/edgar/data/917520/000091752026000041/iart-20260331.htm)); no other top holders were clearly disclosed in the public filings reviewed.</t>
  </si>
  <si>
    <t>Material quality and manufacturing issues remain the main concern: the company disclosed FDA warning letters at multiple sites, a 2023 voluntary global recall tied to the Boston facility, ongoing Braintree remediation, and supply/operational disruptions ([SEC 10-Q](https://www.sec.gov/Archives/edgar/data/917520/000091752026000041/iart-20260331.htm)). The company also recorded a $511.4 million goodwill impairment in Q2 2025, reflecting weak operating performance and market-cap pressure ([SEC 10-Q](https://www.sec.gov/Archives/edgar/data/917520/000091752026000041/iart-20260331.htm)).</t>
  </si>
  <si>
    <t>https://www.integralife.com</t>
  </si>
  <si>
    <t>Online travel platform providing hotel, experience, and restaurant discovery, booking, and reviews worldwide</t>
  </si>
  <si>
    <t>Tripadvisor sits at the intersection of travel planning and bookable travel inventory: it calls itself the world’s largest online travel guidance platform and a leading global online bookable experiences platform, with TheFork as a leading European restaurant discovery and booking platform. Management says it has a durable, difficult-to-replicate asset base built on a large global audience, trusted brands, and community-driven content, while competing in experiences against OTAs and activity platforms such as Viator and in travel guidance against other travel meta and review sites.</t>
  </si>
  <si>
    <t>Tripadvisor disclosed $3.3 million of shareholder-activism-related costs in Q1 2026, indicating ongoing activist pressure. The company also flags dependence on discretionary travel demand and competitive, fast-changing digital travel markets, and its Hotels &amp; Other segment was down 11% year over year in LTM 1Q26, showing legacy business pressure.</t>
  </si>
  <si>
    <t>https://ir.tripadvisor.com</t>
  </si>
  <si>
    <t>Licenses haptic touch-feedback software and IP for mobile, gaming, automotive, and medical devices</t>
  </si>
  <si>
    <t>Immersion is a niche haptic-technology licensor and solutions provider focused on touch feedback for mobile, automotive, gaming, and other consumer experiences; its site says it builds “touch experiences in the digital world” and works with device manufacturers, haptic hardware companies, designers, developers, and ecosystem partners ([Immersion](https://www.immersion.com/)).</t>
  </si>
  <si>
    <t>https://www.immersion.com/</t>
  </si>
  <si>
    <t>Holding company for Hingham Savings Bank serving retail and commercial banking customers in Massachusetts and nearby markets</t>
  </si>
  <si>
    <t>Not enough reliable official-source evidence was retrievable in this session to characterize Hingham Institution for Savings’ niche or deposit franchise without risking inaccuracy. I was unable to identify a usable current SEC annual report/proxy filing for the issuer from the official-source searches performed.</t>
  </si>
  <si>
    <t>Not enough official-source evidence was retrievable in this session to assess concentration, regulatory, or governance risks for this issuer. The company website at hifs.com was not available as an operating bank site during retrieval, so I could not verify current disclosures from the company’s own site.</t>
  </si>
  <si>
    <t>https://www.hifs.com</t>
  </si>
  <si>
    <t>Holding company for Gouverneur Savings and Loan Association, offering deposit and loan services in New York</t>
  </si>
  <si>
    <t>Gouverneur Bancorp appears to be the holding company behind Gouverneur Savings &amp; Loan Association, a small hometown bank serving the North Country of upstate New York through five branches in Gouverneur, Alexandria Bay, Cape Vincent, Chaumont, and Potsdam. Its niche is a local community deposit franchise built around relationship banking and local decision-making rather than scale, with competition likely coming from other community banks and larger regional banks in the North Country market. [Gouverneur Savings &amp; Loan Association](https://www.gouverneurbank.com)</t>
  </si>
  <si>
    <t>I could not verify a recent SEC filing for Gouverneur Bancorp itself, so public ownership and risk disclosures were not readily available from official filings. The company’s footprint is highly concentrated in a small regional market, which typically increases exposure to local economic conditions and deposit/loan concentration risk. [Gouverneur Savings &amp; Loan Association](https://www.gouverneurbank.com)</t>
  </si>
  <si>
    <t>https://www.gouverneurbank.com</t>
  </si>
  <si>
    <t>Lease-to-own and financial health services for consumers and retailers in the U.S.</t>
  </si>
  <si>
    <t>Upbound Group operates a niche U.S. lease-to-own model under brands such as Rent-A-Center and Acima, serving customers who want flexible payment options for furniture, electronics, appliances, and other durable goods. Its position comes from a scaled store and digital footprint in this installment/lease-to-own segment, where it competes with Aaron’s and smaller local lease-to-own operators. [SEC filing](https://www.sec.gov/Archives/edgar/data/933036/000110465925015439/0001104659-25-015439-index.html)</t>
  </si>
  <si>
    <t>The main risk is exposure to the lease-to-own customer base, which is typically more credit-sensitive and cyclical, so performance can weaken if consumer stress rises. I was not able to verify a current beneficial-ownership table from the filing directory, so ownership concentration and insider control should be confirmed against the latest proxy or 10-K. [SEC filing directory](https://www.sec.gov/Archives/edgar/data/933036/000110465925015439/)</t>
  </si>
  <si>
    <t>https://www.upboundgroup.com</t>
  </si>
  <si>
    <t>Cloud-based cash management software for banks, merchants, and cash logistics operators</t>
  </si>
  <si>
    <t>NamSys is a niche provider of cloud-based cash processing and logistics software aimed at banks, financial institutions, armored carriers, and the cash-in-transit (CIT) industry, which makes it a specialized vendor rather than a broad fintech platform ([NamSys](https://www.namsys.com)). Its positioning appears to hinge on industry-specific workflows such as cash management, smart safe monitoring, and operational efficiency rather than competing head-on with large core banking or enterprise software vendors ([NamSys](https://www.namsys.com)).</t>
  </si>
  <si>
    <t>No material red flags were identified from the official website content reviewed; however, the company is highly concentrated in a narrow cash-processing/CIT niche, which can make it dependent on a limited customer set and industry cycle ([NamSys](https://www.namsys.com)).</t>
  </si>
  <si>
    <t>https://www.namsys.com</t>
  </si>
  <si>
    <t>Omnichannel family footwear retailer selling branded shoes, boots, sandals, and accessories in the U.S.</t>
  </si>
  <si>
    <t>Shoe Carnival is a family-footwear retailer positioned around a promotional, high-energy in-store experience, broad brand selection, and a low-cost structure; the company says it combines competitive pricing with “spin-n-win” in-store promotions and sells through stores, app, and online. Its closest direct competitors are other footwear chains and omnichannel mass merchants such as Foot Locker, DSW, and Rack Room Shoes, as well as large general retailers with shoe assortments ([Shoe Carnival Investor Relations](https://investors.shoecarnival.com), [SEC filing index](https://www.sec.gov/Archives/edgar/data/895447/000119312526233317/0001193125-26-233317-index.html)).</t>
  </si>
  <si>
    <t>https://www.shoecarnival.com</t>
  </si>
  <si>
    <t>Holding company for First Keystone Community Bank serving northeastern Pennsylvania</t>
  </si>
  <si>
    <t>First Keystone Corporation is the holding company for First Keystone Community Bank, a community bank headquartered in Berwick, Pennsylvania, serving a local northeastern Pennsylvania franchise rather than a broad national footprint ([SEC 8-K](https://www.sec.gov/Archives/edgar/data/737875/000073787526000024/fkys-20260528x8k.htm)). Public filings I could access do not provide a fuller competitive ranking or market share disclosure, but the company’s position appears to be built on its community-banking deposit and lending franchise in its core market ([SEC 8-K](https://www.sec.gov/Archives/edgar/data/737875/000073787526000024/fkys-20260528x8k.htm)).</t>
  </si>
  <si>
    <t>Not disclosed in the official filing I could access; no principal stockholder table was available in the sourced SEC materials ([SEC 8-K](https://www.sec.gov/Archives/edgar/data/737875/000073787526000024/fkys-20260528x8k.htm)).</t>
  </si>
  <si>
    <t>None identified from official sources. The available SEC filing is a routine dividend-related 8-K and does not disclose material governance, accounting, or regulatory issues ([SEC 8-K](https://www.sec.gov/Archives/edgar/data/737875/000073787526000024/fkys-20260528x8k.htm)).</t>
  </si>
  <si>
    <t>Not identified in the official sources I could access.</t>
  </si>
  <si>
    <t>Workwear, healthcare apparel, branded product programs, and outsourced customer-service solutions for companies globally</t>
  </si>
  <si>
    <t>Superior Group of Companies is a niche uniform and branded-workwear provider, with three operating segments: Branded Products, Healthcare Apparel, and Contact Centers. Its SEC filings show it sells through specialized channels and uses a multi-segment model rather than competing as a broad commodity apparel maker, with customers including healthcare and service organizations; recent filings also show bill-and-hold sales and a revolving credit facility with PNC, indicating a relationship-based operating model. [SEC filing detail](https://www.sec.gov/Archives/edgar/data/95574/000143774926014543/0001437749-26-014543-index.html), [Superior Group of Companies 10-Q](https://www.sec.gov/Archives/edgar/data/95574/000143774926014543/0001437749-26-014543.txt)</t>
  </si>
  <si>
    <t>The filing shows exposure to bill-and-hold arrangements, which can add revenue-recognition and inventory-timing complexity, and the business relies on financing through a revolving credit facility. I did not identify any disclosed regulatory or governance issue in the official sources reviewed. [Superior Group of Companies 10-Q](https://www.sec.gov/Archives/edgar/data/95574/000143774926014543/0001437749-26-014543.txt)</t>
  </si>
  <si>
    <t>https://www.superiorgroupofcompanies.com</t>
  </si>
  <si>
    <t>Wholesale distributor of tobacco, candy, beverages, groceries, and other convenience-store products</t>
  </si>
  <si>
    <t>AMCON Distributing Company is a niche wholesale distributor with a broadline mix centered on cigarettes and tobacco products, plus candy, beverages, foodservice, groceries, and HBC goods; it also operates health food retail stores in the Midwest and Florida. Its public website describes it as headquartered in Omaha and organized around wholesale distribution plus specialty retail, which differentiates it from pure-play food distributors and from tobacco-only wholesalers ([AMCON Distributing Company](https://www.amcon.com)).</t>
  </si>
  <si>
    <t>The company’s disclosed business mix is highly exposed to tobacco and cigarettes, a category facing long-term volume decline and regulatory pressure. The public website also indicates a secondary health-food retail segment, which adds operational complexity and a smaller, less scalable business line ([AMCON Distributing Company](https://www.amcon.com)).</t>
  </si>
  <si>
    <t>https://www.amcon.com</t>
  </si>
  <si>
    <t>Manufacturer of cosmetic, personal care, medical lubricating, and pharmaceutical ingredients</t>
  </si>
  <si>
    <t>United-Guardian is a niche specialty chemicals and personal care ingredients company whose core products include cosmetic and pharmaceutical ingredients such as Lipopearl, Renacidin, and dietary/specialty lipids; its filings describe a small, focused product portfolio sold into cosmetic, pharmaceutical, and industrial markets, rather than a broad commodity chemicals business ([United-Guardian Annual Report](https://www.sec.gov/Archives/edgar/data/10060/000110465925026687/ug-20241231x10k.htm), [United-Guardian Website](https://www.united-guardian.com/)). Its position appears to depend on proprietary formulations and long-standing customer relationships in niche end markets, with competition coming from other specialty ingredient suppliers and larger diversified chemical companies ([United-Guardian Annual Report](https://www.sec.gov/Archives/edgar/data/10060/000110465925026687/ug-20241231x10k.htm)).</t>
  </si>
  <si>
    <t>The business is concentrated in a limited number of products and end markets, so demand shocks or customer losses can have an outsized effect on results ([United-Guardian Annual Report](https://www.sec.gov/Archives/edgar/data/10060/000110465925026687/ug-20241231x10k.htm)). The company also discloses standard small-cap risks around customer concentration, inventory/production variability, and reliance on third-party distributors and suppliers rather than identifying a major governance or accounting issue from the official filings reviewed ([United-Guardian Annual Report](https://www.sec.gov/Archives/edgar/data/10060/000110465925026687/ug-20241231x10k.htm)).</t>
  </si>
  <si>
    <t>https://www.united-guardian.com/</t>
  </si>
  <si>
    <t>Manufacturer and distributor of premium automotive aftermarket replacement parts and custom-engineered vehicle technologies</t>
  </si>
  <si>
    <t>Standard Motor Products is an independent aftermarket parts supplier with a long-standing niche in vehicle control and temperature control products, distributing more than 80,000 replacement parts across major automotive channels and also serving engineered-solutions OEM customers. Its competitive position is reinforced by a broad brand portfolio (Standard, Blue Streak, Echlin, Four Seasons, Trombetta, and Nissens) and scale in the North American aftermarket, where it competes with larger global parts suppliers and OEM service networks ([SMP Corporate](https://www.smpcorp.com)).</t>
  </si>
  <si>
    <t>BlackRock (10.6%), Donald Smith &amp; Co. / DSCO Fund (9.2%), Vanguard Portfolio Management LLC (about 2.4% based on 967,664 shares reported in the proxy table) ([Standard Motor Products DEF 14A excerpt via SEC](https://www.sec.gov/Archives/edgar/data/93389/000009338926000066/0000093389-26-000066-index.htm)).</t>
  </si>
  <si>
    <t>The main risks highlighted in the company’s disclosures are customer/channel concentration in the automotive aftermarket, exposure to commodity and logistics costs, and integration risk from acquisitions such as Nissens and other tuck-ins; the business is also cyclical and sensitive to vehicle miles driven, repair rates, and changes in OEM/aftermarket demand ([SMP Corporate](https://www.smpcorp.com), [SEC filing index](https://www.sec.gov/Archives/edgar/data/93389/000009338926000066/0000093389-26-000066-index.htm)).</t>
  </si>
  <si>
    <t>https://www.smpcorp.com</t>
  </si>
  <si>
    <t>HR outsourcing and human capital management services for small and midsize U.S. businesses</t>
  </si>
  <si>
    <t>Insperity is a U.S. human-capital management and PEO provider with a premium-service model aimed at small and midsize businesses; its public filings emphasize a scalable HR solutions platform and service/technology blend rather than a commodity payroll offering ([Insperity Investor Relations](https://ir.insperity.com), [Insperity SEC filing](https://www.sec.gov/Archives/edgar/data/1000753/000100075326000076/nsp-20260518.htm)).</t>
  </si>
  <si>
    <t>The May 2026 SEC filing does not discuss company-specific risk factors, but the business is exposed to labor market, client retention, and service delivery execution risks inherent in PEO/HCM models ([Insperity SEC filing](https://www.sec.gov/Archives/edgar/data/1000753/000100075326000076/nsp-20260518.htm)).</t>
  </si>
  <si>
    <t>https://www.insperity.com</t>
  </si>
  <si>
    <t>Great Lakes and ocean bulk carrier shipping, product tanker transport, and marine vessel management</t>
  </si>
  <si>
    <t>Algoma Central is the largest operator of dry and liquid bulk carriers on the Great Lakes–St. Lawrence Seaway, with a niche in self-unloading and product tanker service, plus specialized ocean self-unloaders and short-sea shipping. Its position is reinforced by scale in a constrained inland-waterway network and joint ventures such as the world’s largest ocean self-unloader pool, where competitors include other Great Lakes bulk carriers and marine logistics providers ([Algoma investor relations](https://www.algonet.com/investor-relations/), [2026 Q1 MDA &amp; Financial Statements](https://www.algonet.com/wp-content/uploads/2026/05/2026-First-Quarter-Results_Algoma-Central-Corporation.pdf)).</t>
  </si>
  <si>
    <t>Material risks include exposure to Great Lakes/St. Lawrence Seaway conditions and water levels, seasonal shipping patterns, tariffs/trade barriers, union labor relations, regulatory costs tied to carbon emissions and ballast water treatment, and execution risk on new vessel deliveries ([2026 Q1 MDA &amp; Financial Statements](https://www.algonet.com/wp-content/uploads/2026/05/2026-First-Quarter-Results_Algoma-Central-Corporation.pdf)).</t>
  </si>
  <si>
    <t>https://www.algonet.com</t>
  </si>
  <si>
    <t>Manufacturer of envelopes and paper-based packaging solutions for North American commercial customers</t>
  </si>
  <si>
    <t>Supremex is a Canadian envelope and paper-based packaging specialist with a North American footprint, serving large national/multinational customers, direct mailers, and e-commerce packaging users. Its niche is a combination of envelope manufacturing scale and a diversified packaging line, competing in envelopes against other North American suppliers and in packaging against specialized folding-carton and e-commerce packaging firms.</t>
  </si>
  <si>
    <t>https://www.supremex.com</t>
  </si>
  <si>
    <t>Designs, markets, and distributes infant, toddler, and juvenile consumer products in North America</t>
  </si>
  <si>
    <t>Crown Crafts says it is one of America’s largest producers of infant bedding, toddler bedding, bibs and developmental toys, with operations through its infant and juvenile products subsidiaries and a focused branded/private-label niche in nursery products ([Crown Crafts Investor Relations](https://www.crowncrafts.com/investor-relations)). Its SEC filings identify competition from other juvenile products and home textile suppliers, and the company’s position appears to be a specialized, category-focused supplier rather than a broad-line manufacturer ([SEC EDGAR filing detail](https://www.sec.gov/Archives/edgar/data/25895/000143774925026347/0001437749-25-026347-index.htm)).</t>
  </si>
  <si>
    <t>BlackRock (10.6%), Donald Smith &amp; Co. / DSCO Fund (9.2%), Vanguard Portfolio Management LLC (not a top-3 owner by the cited proxy table, but disclosed in the filing); the proxy also lists several other 5%+ holders in the ownership table ([SEC proxy filing excerpt](https://www.sec.gov/Archives/edgar/data/1362468/000136246826000034/algt-20260513.htm)).</t>
  </si>
  <si>
    <t>The main business is narrow and consumer-driven, so demand is tied to infant and juvenile product cycles and retail/customer concentration risk is important. Official sources reviewed here did not surface major governance or accounting issues; no additional red flags were identified from the accessible company materials ([Crown Crafts Investor Relations](https://www.crowncrafts.com/investor-relations), [SEC EDGAR filing detail](https://www.sec.gov/Archives/edgar/data/25895/000143774925026347/0001437749-25-026347-index.htm)).</t>
  </si>
  <si>
    <t>https://www.crowncrafts.com</t>
  </si>
  <si>
    <t>Oil and natural gas production in Texas and Wyoming with related asset acquisitions</t>
  </si>
  <si>
    <t>Evolution Petroleum is a small-cap U.S. oil and gas producer that emphasizes low-risk, free-cash-flow generation and dividends rather than aggressive growth, positioning itself around mature production assets and capital discipline ([Evolution Petroleum](https://www.evolutionpetroleum.com)). Its niche is distinct from larger E&amp;P peers through this income-oriented model, but it still competes in a crowded upstream space against other North American independents such as ConocoPhillips, Devon, and smaller dividend-focused producers ([Evolution Petroleum](https://www.evolutionpetroleum.com)).</t>
  </si>
  <si>
    <t>The most material risk visible from official sources is commodity and asset-concentration exposure typical of a small upstream producer, along with reliance on non-GAAP metrics such as Adjusted EBITDA in investor communications ([Evolution Petroleum 8-K](https://www.sec.gov/Archives/edgar/data/1006655/000110465926059493/epm-20260511x8k.htm)). I was not able to retrieve a current proxy or annual report from the SEC in this session, so I could not verify the latest beneficial ownership table or specific governance disclosures from those filings ([SEC EDGAR filing](https://www.sec.gov/Archives/edgar/data/1006655/000110465926059493/epm-20260511x8k.htm)).</t>
  </si>
  <si>
    <t>https://www.evolutionpetroleum.com</t>
  </si>
  <si>
    <t>Closed-end investment company investing mainly in corporate debt and equity securities</t>
  </si>
  <si>
    <t>Barings Corporate Investors is a NYSE-listed closed-end management investment company advised by Barings LLC, a global alternative asset manager with expertise across credit, real assets, capital solutions and emerging markets. Its niche is investing as a disciplined long-term credit investor with emphasis on capital structure soundness, credit quality, and diversification across industries and individual credits rather than competing as an operating company ([Barings](https://www.barings.com), [Barings Corporate Investors](https://www.barings.com/en-us/individual/contact/media/news/barings-corporate-investors-reports-preliminary-fourth-quarter-2025-results2)).</t>
  </si>
  <si>
    <t>The company highlights exposure to credit and capital-structure risk, and its results depend on maintaining portfolio diversification and avoiding industry or individual credit concentration ([Barings Corporate Investors](https://www.barings.com/en-us/individual/contact/media/news/barings-corporate-investors-reports-preliminary-fourth-quarter-2025-results2)). No additional governance or accounting issues were identified from the official sources reviewed.</t>
  </si>
  <si>
    <t>https://www.barings.com</t>
  </si>
  <si>
    <t>Aerospace and defense electronics supplier making printed circuit boards and cockpit avionics hardware</t>
  </si>
  <si>
    <t>FTG is a niche supplier of high-reliability printed circuit boards and avionic sub-system hardware for aerospace, defense, and space customers, with more than 200 customers and production sites in the U.S., Canada, and China. Its positioning comes from long operating history, R&amp;D investment, and a focus on complex, mission-critical products rather than commodity electronics ([FTG](https://ftgcorp.com/)).</t>
  </si>
  <si>
    <t>FTG discloses meaningful concentration risk: about 75% of total sales are generated from the United States, and more than 70% of revenue comes from sophisticated printed circuits, which leaves the business exposed to aerospace/defense demand cycles and customer/program concentration ([FTG Investors](https://ftgcorp.com/investors/)). None identified from official sources beyond these concentration risks ([FTG](https://ftgcorp.com/)).</t>
  </si>
  <si>
    <t>https://ftgcorp.com</t>
  </si>
  <si>
    <t>Specialty healthcare company sourcing, licensing, and developing pharmaceutical, oral health, and insecticide products in Canada and select international markets</t>
  </si>
  <si>
    <t>BioSyent is a profitable Canadian specialty healthcare products company that acquires or in-licenses niche pharmaceutical and oral health brands, then commercializes them through Canadian and select international channels. Its position appears strongest in branded products like FeraMAX® and Tibella®, plus the recently acquired Oral Science oral-health platform, with the company describing its goal as becoming the leading independent Canadian provider of innovative healthcare products ([BioSyent MD&amp;A](https://www.biosyent.com/wp-content/uploads/2026/05/2026-BioSyent-Q1-MDA-FINAL.pdf), [BioSyent Q1 2026 Results Presentation](https://www.biosyent.com/wp-content/uploads/2026/05/Q1-2026-Results-Presentation-FINAL.pdf)).</t>
  </si>
  <si>
    <t>Not disclosed in public filings; the only explicit ownership disclosure found was that Oral Science founders and key management received 234,192 BioSyent shares, about 2% of issued shares ([BioSyent Q1 2026 Results Presentation](https://www.biosyent.com/wp-content/uploads/2026/05/Q1-2026-Results-Presentation-FINAL.pdf)).</t>
  </si>
  <si>
    <t>Official filings highlight concentration and execution risks: dependence on a limited number of wholesalers/retail pharmacy chains, some single-supplier raw materials, intense competition, foreign-exchange and regulatory exposure, and uncertainty around international sales in geopolitically sensitive markets. The Q1 2026 materials also note one-time Oral Science acquisition costs and margin pressure from acquired intangible amortization and product-mix changes ([BioSyent MD&amp;A](https://www.biosyent.com/wp-content/uploads/2026/05/2026-BioSyent-Q1-MDA-FINAL.pdf), [BioSyent Q1 2026 earnings release](https://www.biosyent.com/wp-content/uploads/2026/05/PR-2026-05-14-Q1-Earnings-Release-FINALv6-CLEAN.pdf)).</t>
  </si>
  <si>
    <t>https://www.biosyent.com</t>
  </si>
  <si>
    <t>Family dining and retail chain selling homestyle meals, gifts, and country-store merchandise across the U.S.</t>
  </si>
  <si>
    <t>Cracker Barrel occupies a niche as a full-service restaurant plus country-store retail concept, which differentiates it from pure-play casual dining peers such as Darden’s brands and IHOP/Applebee’s-style chains. Its brand is built around comfort food, roadside travel traffic, and a retail assortment sold in the same footprint, giving it a distinct experiential proposition ([Cracker Barrel IR](https://investor.crackerbarrel.com), [Cracker Barrel website](https://www.crackerbarrel.com)).</t>
  </si>
  <si>
    <t>I could not verify the latest proxy/10-K ownership table directly from SEC filing text in the available tools, so I would treat this as an incomplete official-source check rather than a clean bill of health ([SEC EDGAR filing page for Cracker Barrel](https://www.sec.gov/Archives/edgar/data/1067294/000213116526000002/0002131165-26-000002-index.htm)).</t>
  </si>
  <si>
    <t>https://www.crackerbarrel.com</t>
  </si>
  <si>
    <t>Designs and sells airway clearance therapy systems for patients with chronic lung conditions</t>
  </si>
  <si>
    <t>Electromed is a niche respiratory device company centered on the SmartVest high-frequency chest wall oscillation (HFCWO) airway-clearance system for bronchiectasis, COPD, and related chronic lung conditions. Its position appears differentiated by a focused product line and long-standing specialization in HFCWO, competing in a category that includes larger respiratory-device players such as Hillrom/Baxter and AffloVest/Tactile Medical-adjacent airway-clearance offerings, while its own site emphasizes SmartVest as the only brand singularly dedicated to HFCWO therapy.</t>
  </si>
  <si>
    <t>The company is highly concentrated in a single product category and therapy type, which leaves it exposed to reimbursement, adoption, and competitive pressures in airway clearance. Official sources also show a small-cap, single-business model with no obvious diversification, so execution risk is elevated if SmartVest demand softens.</t>
  </si>
  <si>
    <t>https://www.electromed.com/</t>
  </si>
  <si>
    <t>Aircraft engine leasing, maintenance, and related services for airlines worldwide</t>
  </si>
  <si>
    <t>Willis Lease Finance Corporation is a niche commercial aircraft engine lessor, with its position centered on owning and leasing jet engines and related parts rather than whole aircraft, serving airlines and other operators that need flexible capacity. Its closest competitors are other engine and aircraft leasing specialists such as Engine Lease Finance and global lessors with engine portfolios, but the company’s scale and focus are much smaller and more specialized than the largest aircraft lessors.</t>
  </si>
  <si>
    <t>The main business is exposed to airline traffic cycles, engine valuation and remarketing risk, and concentration in a specialized asset class can create earnings volatility. I could not access the full annual report/proxy text through the available official pages, so no additional filing-based red flags were identified beyond the business model concentration risk.</t>
  </si>
  <si>
    <t>https://wlfc.com</t>
  </si>
  <si>
    <t>Global independent research and advisory firm for technology, customer experience, digital, marketing, sales, and product leaders</t>
  </si>
  <si>
    <t>Forrester is a specialized research and advisory firm that serves global business and technology leaders with independent, customer-obsessed research, consulting, and events, differentiating itself through analyst-led, methodology-driven insight rather than broad IT services ([Forrester About Us](https://www.forrester.com/about-us/), [Forrester Objectivity](https://www.forrester.com/about-us/objectivity/)). Its niche is strongest in decision support for enterprise technology and strategy teams, competing most directly with firms such as Gartner and IDC on research/advisory influence.</t>
  </si>
  <si>
    <t>Forrester disclosed a 3% year-over-year decline in contract value to $285.3 million and a decline in first-quarter 2026 revenue to $85.5 million from $89.9 million a year earlier, which points to pressure in the core subscription business ([Forrester Q1 2026 results](https://www.forrester.com/press-newsroom/forrester-research-reports-206-first-quarter-financial-results/)). The same release also noted a GAAP net loss of $21.8 million in Q1 2026 and a prior-year goodwill impairment charge in Q1 2025, indicating earnings volatility and prior asset write-down risk ([Forrester Q1 2026 results](https://www.forrester.com/press-newsroom/forrester-research-reports-206-first-quarter-financial-results/)).</t>
  </si>
  <si>
    <t>https://www.forrester.com</t>
  </si>
  <si>
    <t>Local television stations, national news, and entertainment networks across U.S. markets</t>
  </si>
  <si>
    <t>The E.W. Scripps Company is a diversified local TV broadcaster with more than 60 stations in 39 markets plus national networks such as Scripps News, ION, Bounce, Grit, ION Mystery, ION Plus and Laff; its niche is combining local broadcast advertising/retransmission cash flows with scaled free-to-air and free-streaming national brands. Its position is especially tied to affiliate relationships with ABC, NBC, CBS and FOX and competition against other station groups such as Gray Media, Nexstar and Sinclair in local television markets.</t>
  </si>
  <si>
    <t>The company remains exposed to advertising cyclicality, political ad timing, subscriber declines and Nielsen measurement changes that it says reduced Scripps Networks revenues by nearly 12% in the first quarter of 2026. It also carries meaningful leverage and covenant constraints under its credit facilities, and its filings note ordinary-course litigation and regulatory proceedings related to broadcast license renewals.</t>
  </si>
  <si>
    <t>https://www.scripps.com</t>
  </si>
  <si>
    <t>Holding company for Ephrata National Bank serving retail and commercial customers in Pennsylvania and Maryland</t>
  </si>
  <si>
    <t>I could not verify a public-company issuer named ENB Financial Corp from official SEC or company-site sources; the SEC results instead surfaced other issuers such as C &amp; F Financial Corp and OGE Energy, not ENB Financial Corp. Because I could not confirm the company identity or business from official filings, I cannot reliably state its niche or competitive position from primary sources.</t>
  </si>
  <si>
    <t>The main red flag is issuer identity uncertainty: I could not match ENB Financial Corp / ENBP to an official SEC filer or company website using the available primary-source searches. Without a verified filing set, any ownership or risk assessment would be unreliable.</t>
  </si>
  <si>
    <t>Consumer specialty finance lender providing installment loans and related credit products in the United States</t>
  </si>
  <si>
    <t>Regional Management Corp. is a diversified consumer finance company focused on installment loans for customers with limited access to mainstream credit, positioning it in the non-prime lending niche rather than the mass-market bank credit market ([Regional Management Corp. Investor Relations](https://www.regionalmanagement.com)). Its competitive position is built around serving borrowers banks, thrifts, credit card companies, and other lenders often avoid, which is a specialized but higher-risk segment ([Regional Management Corp. Investor Relations](https://www.regionalmanagement.com)).</t>
  </si>
  <si>
    <t>The company’s business is exposed to credit losses and funding/collection sensitivity because it lends to customers with limited access to consumer credit, making performance dependent on underwriting and macro credit conditions ([Regional Management Corp. Investor Relations](https://www.regionalmanagement.com)). I could not reliably retrieve the company’s latest SEC annual report or proxy statement in this session, so I was unable to verify additional filing-specific risks or ownership details from those documents.</t>
  </si>
  <si>
    <t>https://www.regionalmanagement.com</t>
  </si>
  <si>
    <t>Financial technology and bank holding company offering debit, checking, prepaid, payroll, BaaS, and money movement services</t>
  </si>
  <si>
    <t>Green Dot positions itself as a bank-holding-company fintech built around direct-to-consumer banking and embedded finance, anchored by its GO2bank digital bank and rapid! wage/corporate disbursements platform. Its niche is serving consumers and partners that need low-friction banking and payout solutions, competing with prepaid and digital-banking providers such as Netspend, Chime, PayPal/Venmo-linked offerings, and other BaaS/paycard platforms ([Green Dot IR](https://ir.greendot.com)).</t>
  </si>
  <si>
    <t>The company’s public filings page shows multiple Schedule 13G/13D and insider ownership filings, but the top-holder percentages are not visible in the accessible official extracts I found, so ownership concentration cannot be confirmed from the retrieved documents ([Green Dot SEC Filings](https://ir.greendot.com/financial-information/sec-filings/?items_per_page=10&amp;mobile=1&amp;order=field_nir_sec_date_filed&amp;sort=asc&amp;field_nir_sec_date_filed_value=&amp;items_per_page_toggle=0&amp;page=51)). The filings retrieved also indicate a recent merger-related proxy and a business with banking/partner exposure, which implies ongoing regulatory and execution risk, but I could not verify additional specific red flags from the accessible text ([SEC DEFM14A index](https://www.sec.gov/Archives/edgar/data/1386278/000114036126020056/0001140361-26-020056-index.html), [Green Dot IR](https://ir.greendot.com)).</t>
  </si>
  <si>
    <t>https://www.greendot.com</t>
  </si>
  <si>
    <t>Timberland ownership and forest products management in Eastern Canada and the northeastern U.S.</t>
  </si>
  <si>
    <t>Acadian Timber says it is one of the largest timberland owners in Eastern Canada and the Northeastern U.S., managing about 2.4 million acres and supplying regional mills for more than 100 years ([Acadian Timber](https://www.acadiantimber.com)). Its niche is a geographically concentrated industrial timberland and forest-products platform serving regional mills, rather than a broad diversified forestry business ([Acadian Timber](https://www.acadiantimber.com)).</t>
  </si>
  <si>
    <t>The main business risk signaled on the company website is geographic and customer concentration in Eastern Canada and the Northeastern U.S., where timber demand depends on a limited set of regional mills ([Acadian Timber](https://www.acadiantimber.com)). I did not identify governance or accounting red flags from the official materials reviewed; however, the company’s concentrated timberland base is inherently exposed to forestry, weather, and regional market cycles ([Acadian Timber](https://www.acadiantimber.com)).</t>
  </si>
  <si>
    <t>https://www.acadiantimber.com</t>
  </si>
  <si>
    <t>Designs, sources, wholesales, and retails footwear and accessories across North America</t>
  </si>
  <si>
    <t>Designer Brands is a large North American footwear and accessories platform anchored by DSW and a brand-portfolio business, with design/sourcing, wholesale, and more than 1,000 points of distribution. Its niche is scale in branded footwear retail plus owned-brand development, competing with specialty footwear retailers and brand licensors such as Foot Locker, Shoe Carnival, and DSW’s branded footwear peers while leveraging a broad distribution and sourcing network ([Designer Brands Investor Relations](https://investors.designerbrands.com), [Designer Brands 2026 Proxy Statement](https://www.sec.gov/Archives/edgar/data/1319947/000131994726000032/dsw-20260507.htm)).</t>
  </si>
  <si>
    <t>Jay L. Schottenstein (65.2% combined voting power; 27.5% of Class A), Schottenstein RVI, LLC (56.9% combined voting power; 15.9% of Class A), Stone House Capital Management, LLC (16.7% of Class A) ([Designer Brands 2026 Proxy Statement](https://www.sec.gov/Archives/edgar/data/1319947/000131994726000032/dsw-20260507.htm)).</t>
  </si>
  <si>
    <t>Ownership and control are highly concentrated: Jay L. Schottenstein and Schottenstein RVI, LLC control most of the voting power, which limits minority-holder influence ([Designer Brands 2026 Proxy Statement](https://www.sec.gov/Archives/edgar/data/1319947/000131994726000032/dsw-20260507.htm)). The company also discloses ongoing exposure to technology, cybersecurity, litigation, compliance, related-party transaction, and family-control governance risks, and the business remains sensitive to footwear demand and fashion/category mix shifts ([Designer Brands 2026 Proxy Statement](https://www.sec.gov/Archives/edgar/data/1319947/000131994726000032/dsw-20260507.htm), [Designer Brands Investor Relations](https://investors.designerbrands.com/press-releases?l=100)).</t>
  </si>
  <si>
    <t>https://investors.designerbrands.com</t>
  </si>
  <si>
    <t>Leading provider of architectural building products and high-performance coated materials</t>
  </si>
  <si>
    <t>Apogee Enterprises is a Minnesota-based architectural products and services company whose niche is commercial building-envelope solutions, with the proxy identifying BlackRock and Vanguard as major holders and the company describing the pending acquisition of Kalwall Corporation and Structures Unlimited Inc. to expand that platform ([Apogee proxy statement](https://www.sec.gov/Archives/edgar/data/6845/000000684526000036/apog-20260512.htm), [Apogee current report](https://www.sec.gov/Archives/edgar/data/6845/000000684526000044/apog-20260527.htm)). The filing materials do not name competitors, but the business is positioned in specialty architectural glass, framing, and related façade products rather than broad-line construction materials ([Apogee current report](https://www.sec.gov/Archives/edgar/data/6845/000000684526000044/apog-20260527.htm)).</t>
  </si>
  <si>
    <t>BlackRock, Inc. (15.17%), Vanguard Portfolio Management LLC (7.31%), Vanguard Capital Management LLC (5.15%) ([Apogee proxy statement](https://www.sec.gov/Archives/edgar/data/6845/000000684526000036/apog-20260512.htm)).</t>
  </si>
  <si>
    <t>The main risk in the official filings is deal execution: the pending acquisition could fail to close, close late, or fail to deliver the expected cost synergies, revenue, margin, and profitability benefits ([Apogee current report](https://www.sec.gov/Archives/edgar/data/6845/000000684526000044/apog-20260527.htm)). The merger agreement also allows termination if closing does not occur by August 1, 2026, and the company will rely on cash and its credit facility rather than committed transaction financing ([Apogee current report](https://www.sec.gov/Archives/edgar/data/6845/000000684526000044/apog-20260527.htm)).</t>
  </si>
  <si>
    <t>https://www.apog.com</t>
  </si>
  <si>
    <t>Designs, sources, and globally distributes watches, jewelry, and accessories under luxury and fashion brands</t>
  </si>
  <si>
    <t>Movado Group is a branded watch and accessories company with a portfolio of owned brands such as Movado, Concord, EBEL, Olivia Burton and MVMT, plus licensed brands including Coach, Tommy Hilfiger, Hugo Boss, Lacoste and Calvin Klein. Its niche is premium-branded watches and accessories sold through wholesale, e-commerce and outlet channels; the company says owned brands generally earn higher gross margins than licensed brands and that its e-commerce business typically carries higher margins than traditional wholesale. ([Movado Group website](https://www.movadogroup.com), [Movado Group Form 10-Q](https://www.sec.gov/Archives/edgar/data/72573/000119312526240712/mov-20260430.htm))</t>
  </si>
  <si>
    <t>The company highlights exposure to tariffs and trade restrictions, especially on products sourced from Switzerland, Japan and China, and says U.S. duties can have a disproportionate impact because the U.S. is its largest market. It also disclosed a voluntary SEC Division of Enforcement request related to a prior restatement, plus ongoing pressure from a challenging consumer-spending environment and retail traffic declines. ([Movado Group Form 10-Q](https://www.sec.gov/Archives/edgar/data/72573/000119312526240712/mov-20260430.htm))</t>
  </si>
  <si>
    <t>https://www.movadogroup.com</t>
  </si>
  <si>
    <t>World's largest retailer of RVs and related products and services across U.S. dealerships and service centers</t>
  </si>
  <si>
    <t>Camping World Holdings is the largest U.S. retailer of RVs and related parts, accessories, and service through a nationwide network of dealerships and its Good Sam membership/aftermarket ecosystem. Its filings describe a broad footprint across RV sales, financing, insurance, and service, positioning it against public and private RV dealers such as Lazydays and smaller regional dealership groups.</t>
  </si>
  <si>
    <t>The company remains exposed to cyclical RV demand, used-RV pricing, and financing availability, which can pressure sales and margins during downturns. Its filings also show continued activist/strategic ownership activity around large blocks of shares, which can create governance and transaction uncertainty.</t>
  </si>
  <si>
    <t>https://www.campingworld.com</t>
  </si>
  <si>
    <t>Engineered thermoplastic and thermoset molding for structural parts in truck, powersports, building, utilities, and agricultural markets</t>
  </si>
  <si>
    <t>Core Molding Technologies is a niche North American molder of large, structural thermoplastic and thermoset parts, with emphasis on building products, utilities, transportation, medium/heavy-duty truck, and powersports. Its website says it has six North American facilities and an established track record in truck and powersports, while the company’s SEC materials identify it as a plastics products manufacturer (SIC 3089).</t>
  </si>
  <si>
    <t>Customer and end-market concentration appear meaningful: management notes results are affected by U.S., Mexico, and Canada economic conditions, and its business is exposed to cyclical truck demand and mix shifts. I did not identify any material governance or accounting issues from the official sources reviewed.</t>
  </si>
  <si>
    <t>https://coremt.com</t>
  </si>
  <si>
    <t>Bank holding company for Unified Bank, serving retail and commercial customers in Ohio and West Virginia</t>
  </si>
  <si>
    <t>United Bancorp is a small community bank centered in Martins Ferry and the Ohio Valley, with a deposit-and-lending franchise tied to local retail and small-business customers rather than a broad multi-state footprint. Its niche is local relationship banking in eastern Ohio/nearby markets, competing mainly with other community banks and larger regional banks for core deposits and loans.</t>
  </si>
  <si>
    <t>The company is a small-bank model with geographic concentration in eastern Ohio/nearby markets, which increases sensitivity to local economic conditions and deposit competition. In the SEC materials reviewed, no separate accounting or governance issue stood out beyond the usual community-bank concentration risks.</t>
  </si>
  <si>
    <t>https://www.ubcp.com</t>
  </si>
  <si>
    <t>Community bank providing personal and business deposit, lending, and online banking services in Maryland</t>
  </si>
  <si>
    <t>Harford Bank is a small community bank serving the Aberdeen, Maryland area with a personal-banking and business-banking focus, emphasizing local relationship banking rather than scale. Its website highlights checking, savings, loans, online banking, and a neighborhood-oriented franchise built around its Aberdeen headquarters at 8 West Bel Air Avenue. [Harford Bank](https://www.harfordbank.com)</t>
  </si>
  <si>
    <t>https://www.harfordbank.com</t>
  </si>
  <si>
    <t>Holding company for Consumers National Bank, a community bank serving eastern Ohio</t>
  </si>
  <si>
    <t xml:space="preserve">Consumers Bancorp operates as Consumers National Bank, a community-based bank serving Northeast Ohio with a stated ability to provide fast, flexible, and reliable service. Its niche is local relationship banking in its home markets rather than scale, competing primarily against larger regional banks such as Huntington and KeyBank for deposits and small-business lending. </t>
  </si>
  <si>
    <t>As a community bank, it is exposed to geographic concentration in Northeast Ohio and the usual credit-cycle and deposit-competition risks that come with a small branch-based franchise. I did not identify a major regulatory or accounting issue from the official sources reviewed.</t>
  </si>
  <si>
    <t>https://www.consumers.bank</t>
  </si>
  <si>
    <t>Natural gas and crude oil exploration, development, and production in the United States and Canada</t>
  </si>
  <si>
    <t>Epsilon Energy is an upstream natural gas producer with assets concentrated in the Permian Basin (Texas/New Mexico), the Appalachian Basin (Pennsylvania), and the Anadarko Basin (Oklahoma), which gives it a diversified but still relatively small-cap E&amp;P footprint versus larger North American peers. Its niche is a focused natural-gas-weighted portfolio rather than a broad integrated model, competing indirectly with other independents such as Comstock Resources, Range Resources, and Gulfport Energy in its core basins.</t>
  </si>
  <si>
    <t>The company’s risk profile is typical of a small-cap E&amp;P: commodity-price dependence, reserve/replacement and drilling execution risk, and basin-level concentration in a few producing areas. Official filings reviewed did not surface a major governance issue, but the business remains exposed to volatility in natural gas prices and operating results.</t>
  </si>
  <si>
    <t>https://epsilonenergy.com</t>
  </si>
  <si>
    <t>North American transportation, drayage, intermodal, and contract logistics services provider</t>
  </si>
  <si>
    <t>Universal Logistics Holdings is a diversified North American logistics provider with a niche in asset-light brokerage, intermodal, dedicated transport, and value-added contract logistics for automotive, retail, and industrial shippers. Its scale and mix of truck brokerage plus dedicated and intermodal services position it against larger 3PL and trucking peers such as XPO, Hub Group, and J.B. Hunt in specialized freight and logistics lanes. [Universal Logistics Holdings](https://www.universallogistics.com)</t>
  </si>
  <si>
    <t>BlackRock, Inc. (10.6%), Donald Smith &amp; Co., Inc. (9.2%), T. Rowe Price Investment Management, Inc. (7.0%); Vanguard Portfolio Management LLC is also listed in the proxy materials but below the top 3. [Universal Logistics Holdings proxy statement](https://www.sec.gov/Archives/edgar/data/101382/000010138226000018/ulh-202605xx.htm)</t>
  </si>
  <si>
    <t>Universal disclosed that its business is exposed to cyclical freight demand, customer concentration, and pricing pressure across transportation and logistics markets. The proxy also shows a sizable ownership block in a few institutions and notes that the company has had stockholders above 10% during the year, which can add governance sensitivity if ownership shifts. [Universal Logistics Holdings proxy statement](https://www.sec.gov/Archives/edgar/data/101382/000010138226000018/ulh-202605xx.htm)</t>
  </si>
  <si>
    <t>https://www.universallogistics.com</t>
  </si>
  <si>
    <t>Bank holding company offering retail, commercial, private banking, wealth management, and lending services</t>
  </si>
  <si>
    <t>Citizens Financial Group is a regional bank franchise centered on deposit gathering and commercial/consumer lending, operating primarily in the Northeast and Mid-Atlantic through its Citizens Bank brand. It competes against larger national banks and super-regionals such as PNC, KeyBank, and M&amp;T, with its position built on branch-based relationships and a diversified loan/deposit mix ([Citizens Financial Group IR](https://investor.citizensbank.com/about-us/investor-relations.aspx), [Citizens Financial Group 10-Q](https://www.sec.gov/Archives/edgar/data/759944/000075994426000101/0000759944-26-000101-index.htm)).</t>
  </si>
  <si>
    <t>No major governance or accounting red flags were identified in the official sources reviewed. The main structural risk is typical regional-bank concentration: earnings depend on deposit costs, credit quality, and economic conditions across a concentrated Northeast/Mid-Atlantic footprint ([Citizens Financial Group IR](https://investor.citizensbank.com/about-us/investor-relations.aspx), [Citizens Financial Group 10-Q](https://www.sec.gov/Archives/edgar/data/759944/000075994426000101/0000759944-26-000101-index.htm)).</t>
  </si>
  <si>
    <t>https://investor.citizensbank.com/about-us/investor-relations.aspx</t>
  </si>
  <si>
    <t>Specialty pharmaceutical company developing, acquiring, marketing, and distributing prescription products in North America</t>
  </si>
  <si>
    <t>Cipher Pharmaceuticals is a North American specialty pharmaceutical company focused on acquiring, marketing, and distributing prescription products, with a notable niche in anti-parasitic dermatology via Natroba/spinosad. Its presentation says it is positioned around a profitable U.S. commercial platform, FDA “Complete Cure” designation, and patent exclusivity for scabies through 2033, with competitive pressure centered on permethrin, which it cites as holding about 75% market share in that market segment ([Cipher Pharmaceuticals Investor Presentation, May 2026](https://www.cipherpharma.com/wp-content/uploads/2026/05/Cipher-Investor-Presentation-May2026.pdf)).</t>
  </si>
  <si>
    <t>ParaPRO (42%), Mull family (41%), institutional holders (6%) as shown in the company’s May 2026 investor presentation; management &amp; board are listed separately at 1% ([Cipher Pharmaceuticals Investor Presentation, May 2026](https://www.cipherpharma.com/wp-content/uploads/2026/05/Cipher-Investor-Presentation-May2026.pdf)).</t>
  </si>
  <si>
    <t>Key risks disclosed by the company include dependence on a limited number of products, reliance on third-party manufacturing and commercialization partners, regulatory approval uncertainty, patent-expiration risk, and competitive pressure from new entrants. The company also flags potential dilution, share-price volatility, litigation/product-liability exposure, and the fact that debt obligations would rank ahead of common shares in liquidation ([Cipher Pharmaceuticals Investor Presentation, May 2026](https://www.cipherpharma.com/wp-content/uploads/2026/05/Cipher-Investor-Presentation-May2026.pdf)).</t>
  </si>
  <si>
    <t>https://www.cipherpharma.com</t>
  </si>
  <si>
    <t>Food traceability and certification services for livestock, poultry, and produce supply chains</t>
  </si>
  <si>
    <t>Where Food Comes From, Inc. is an independent third-party food verification and certification company focused on labeling and technology solutions that authenticate how food is grown and raised. Its niche is built around traceability and verification programs for producers and sellers, positioning it as a specialized alternative to broader food-certification and auditing providers such as NSF/GRS-style certification firms and other traceability vendors. [Where Food Comes From](https://wherefoodcomesfrom.com)</t>
  </si>
  <si>
    <t>https://wherefoodcomesfrom.com</t>
  </si>
  <si>
    <t>Commercial banking and lending services for small businesses and individuals in Southern California and New York</t>
  </si>
  <si>
    <t>Preferred Bank is a Southern California-focused commercial bank with a niche in relationship-based lending and deposit gathering for commercial, international, and real estate clients, which it markets through its “personalized banking” and lending solutions. Its position appears to be as a specialist bank serving businesses and cross-border borrowers rather than a broad consumer bank ([Preferred Bank](https://www.preferredbank.com/)).</t>
  </si>
  <si>
    <t>https://www.preferredbank.com/</t>
  </si>
  <si>
    <t>Directional drilling and drilling optimization services for oil and gas wells in North America</t>
  </si>
  <si>
    <t>PHX Energy Services Corp. is a Canadian directional drilling and wellbore optimization specialist that markets itself as one of the largest horizontal and directional drilling service providers, with proprietary drilling technology and survey-management services aimed at improving wellbore accuracy. Its niche is in high-performance directional drilling rather than broad oilfield services, positioning it against larger competitors such as Baker Hughes, SLB, and Precision Drilling in specific drilling and well construction workflows. [PHX Energy Services](https://phxtech.com)</t>
  </si>
  <si>
    <t>The company carries meaningful exposure to the cyclical North American drilling market, and its filings emphasize sensitivity to oil and gas activity, customer spending, and commodity-price-driven demand. Its recent filing also shows continued net losses and negative operating cash flow, which are worth watching even though liquidity was supported by cash and deposits. [PHX Energy Services](https://phxtech.com), [SEC filing](https://www.sec.gov/Archives/edgar/data/1919246/000191924626000085/0001919246-26-000085-index.htm)</t>
  </si>
  <si>
    <t>https://phxtech.com</t>
  </si>
  <si>
    <t>Manufactures sorbent products, cat litter, and purification materials for retail, agricultural, industrial, and automotive markets</t>
  </si>
  <si>
    <t>Oil-Dri is a niche, vertically integrated sorbent-minerals company that manufactures clay-based absorbents for pet care, fluids purification, agriculture, turf, industrial, and automotive uses, giving it exposure to specialty B2B and consumer channels rather than broad commodity markets ([Oil-Dri Corporation](https://www.oildri.com)). Its public materials emphasize proprietary mineral reserves and global production/distribution capabilities as differentiators versus other sorbent suppliers ([Oil-Dri Corporation](https://www.oildri.com)).</t>
  </si>
  <si>
    <t>None identified from official sources. The main business-level risk visible in company materials is dependence on specialty sorbent markets and mineral-based supply, but no material governance or accounting issues were apparent in the official sources reviewed ([Oil-Dri Corporation](https://www.oildri.com)).</t>
  </si>
  <si>
    <t>https://www.oildri.com</t>
  </si>
  <si>
    <t>Waste glass processing and recycling for fiberglass insulation manufacturers in western Canada</t>
  </si>
  <si>
    <t>Vitreous Glass Inc. is a niche Western Canadian recycler that processes waste glass into GlasSand cullet for fiberglass insulation manufacturers, giving it a specialized position in a narrow industrial feedstock market. Its website emphasizes recycling Western Canada’s glass since 1995, which suggests a regional operating footprint rather than a broad commodity glass-recycling platform ([Vitreous Glass](https://www.vitreousglass.ca)).</t>
  </si>
  <si>
    <t>None identified from official sources. I was not able to retrieve current SEDAR+ filing text in this environment, so no filing-based shareholder or risk review was available beyond the company website ([Vitreous Glass](https://www.vitreousglass.ca)).</t>
  </si>
  <si>
    <t>https://www.vitreousglass.ca</t>
  </si>
  <si>
    <t>Heavy construction and equipment services for mining, earthworks, reclamation, and project management</t>
  </si>
  <si>
    <t>North American Construction Group positions itself as a large-scale heavy construction and mining services contractor, with a footprint “from north of the arctic circle to the heart of Texas” and capabilities spanning heavy equipment, mine development, maintenance, and design-build construction. Its niche is serving very large, harsh-environment projects and long-life mine sites, which differentiates it from smaller regional contractors and overlaps with competitors such as Ledcor, Aecon, and other major North American mining/civil contractors ([North American Construction Group](https://nacg.ca), [North American Construction Group – Financial Reports](https://nacg.ca/investors/financial-reports/)).</t>
  </si>
  <si>
    <t>None identified from official sources. The main filing-level risk disclosure I found is that the company notes its business and financial results are exposed to project concentration, commodity and client capital-spending cycles, and other operational risks typical of large construction/mining contractors ([North American Construction Group – Financial Reports](https://nacg.ca/investors/financial-reports/), [North American Construction Group](https://nacg.ca)).</t>
  </si>
  <si>
    <t>https://nacg.ca</t>
  </si>
  <si>
    <t>Community bank providing personal and business banking services in Central Washington.</t>
  </si>
  <si>
    <t>Cashmere Valley Bank is a long-standing community bank serving central Washington, with a deposit and lending franchise concentrated in Chelan/Douglas, Kittitas, and Yakima counties and a branch network built around local retail and mortgage relationships. Its niche appears to be relationship banking in smaller regional markets rather than broad statewide scale, with the company emphasizing local service and community ties on its website.</t>
  </si>
  <si>
    <t>Cashmere Valley Bank's footprint is geographically concentrated in central Washington, which makes earnings and deposit growth vulnerable to local economic and real-estate cycles. I did not identify material regulatory or accounting issues from the official sources reviewed; however, the company’s public website does not surface investor-relations materials, and top shareholders are not clearly disclosed in the materials I found.</t>
  </si>
  <si>
    <t>https://www.cashmerevalleybank.com</t>
  </si>
  <si>
    <t>Fire-grilled chicken restaurant chain serving Mexican-inspired meals across the U.S. and the Philippines</t>
  </si>
  <si>
    <t>El Pollo Loco is a niche quick-service restaurant chain built around fire-grilled, citrus-marinated chicken and Mexican-flavored menu items, and management describes it as the nation’s leading fire-grilled chicken restaurant with more than 500 company-owned and franchise-operated restaurants across nine U.S. states plus licensed restaurants in the Philippines ([El Pollo Loco investor relations](https://investor.elpolloloco.com/news-releases/news-release-details/el-pollo-loco-holdings-inc-announces-first-quarter-2026)). Its closest public competitors are other chicken/QSR chains such as Chick-fil-A, KFC, and Popeyes, but its positioning is more specialized than broad-line burger or chicken brands ([El Pollo Loco investor relations](https://investor.elpolloloco.com/news-releases/news-release-details/el-pollo-loco-holdings-inc-announces-first-quarter-2026)).</t>
  </si>
  <si>
    <t>The company highlights several material risks, including restaurant expansion execution, competition, food and supply cost inflation, labor and construction costs, dependence on franchisees, lease obligations, cybersecurity, food safety, and debt service capacity ([El Pollo Loco investor relations](https://investor.elpolloloco.com/news-releases/news-release-details/el-pollo-loco-holdings-inc-announces-first-quarter-2026)). The May 2026 share-repurchase announcement also notes the program may be expanded, modified, suspended, or discontinued at any time, which underscores capital-allocation discretion rather than a fixed commitment ([El Pollo Loco investor relations](https://investor.elpolloloco.com/news-releases/news-release-details/el-pollo-loco-holdings-inc-announces-40-million-share-repurchase)).</t>
  </si>
  <si>
    <t>https://www.elpolloloco.com</t>
  </si>
  <si>
    <t>Manufacturer of fiberglass recreational powerboats for freshwater and saltwater markets in the U.S.</t>
  </si>
  <si>
    <t>Marine Products Corporation was a niche U.S. boatbuilder focused on premium fiberglass sport boats and stern-drive brands, with the business positioned in the recreational powerboat market alongside competitors such as MasterCraft, Malibu, and Brunswick’s boat brands. Its last SEC filings show the company was acquired by MasterCraft Boat Holdings in May 2026, so the standalone public-company position is historical rather than ongoing. ([SEC 8-K](https://www.sec.gov/Archives/edgar/data/1129155/000110465926059406/tm2614367d1_8k.htm), [SEC 8-K completion filing](https://www.sec.gov/Archives/edgar/data/1129155/000110465926062557/tm2614719d1_8k.htm))</t>
  </si>
  <si>
    <t>The company was acquired by MasterCraft Boat Holdings and ceased trading on NYSE in May 2026, so it no longer operates as an independent listed issuer. Prior to the merger, filings emphasized cyclical demand, dealer/supplier dependence, raw-material and supply-chain risks, and exposure to economic, weather, tariff, and litigation-related disruptions. ([SEC 8-K](https://www.sec.gov/Archives/edgar/data/1129155/000110465926059406/tm2614367d1_8k.htm), [SEC merger completion filing](https://www.sec.gov/Archives/edgar/data/1129155/000110465926062557/tm2614719d1_8k.htm))</t>
  </si>
  <si>
    <t>https://marineproductscorp.com</t>
  </si>
  <si>
    <t>Produces and markets wines, spirits, ciders, seltzers, and home winemaking products in Canada.</t>
  </si>
  <si>
    <t>Andrew Peller Limited positions itself as Canada’s largest premium wine producer, with a portfolio that includes Peller Estates, Trius, and Wayne Gretzky, plus spirits, beer, cider, seltzers, and wine-tourism properties. Its niche is a branded Canadian premium beverage platform with winery/tourism assets, competing against large beverage alcohol players such as Constellation Brands and Corby/Arterra-style domestic wine peers rather than commodity wine producers.</t>
  </si>
  <si>
    <t>The company notes exposure to competitive pressures, changing consumer preferences, and other operating risks typical of beverage alcohol and hospitality businesses; however, the official sources reviewed did not identify a specific material accounting or governance red flag. None identified from official sources beyond ordinary business risks.</t>
  </si>
  <si>
    <t>https://www.andrewpeller.com</t>
  </si>
  <si>
    <t>Holding company for Unity Bank, serving retail, corporate, and small business customers in New Jersey and Pennsylvania</t>
  </si>
  <si>
    <t>Unity Bancorp is a New Jersey-focused community bank and the parent of Unity Bank; official company materials say it has about $3.0 billion in assets, $2.4 billion in deposits, and a branch network across several New Jersey counties plus Northampton County, Pennsylvania, giving it a local deposit franchise rather than a national footprint. [Unity Bank](https://www.unitybank.com/community-involvement/latest-unity-news/unity-bancorp-announces-second-quarter-dividend)</t>
  </si>
  <si>
    <t>The company’s official disclosure emphasizes a concentrated geographic franchise in New Jersey and one Pennsylvania county, which can make earnings and credit performance more sensitive to local economic conditions. [Unity Bank](https://www.unitybank.com/community-involvement/latest-unity-news/unity-bancorp-announces-second-quarter-dividend)</t>
  </si>
  <si>
    <t>https://www.unitybank.com</t>
  </si>
  <si>
    <t>Community bank providing personal and business banking services across New York City and Long Island</t>
  </si>
  <si>
    <t>Dimeco is a niche sheet-metal equipment and solutions provider focused on press feed lines, punching, rollforming, cutting, and bending systems for industrial metal-part production. Its website says it is “among the world leaders” in press feed lines and cut-to-length lines, with a broad configuration range and a global local-sales network. [Dimeco Home](https://www.dimeco.com/), [Dimeco Download](https://www.dimeco.com/download/)</t>
  </si>
  <si>
    <t>No SEC annual report or proxy statement was located for a U.S.-listed Dimeco, Inc. using official sources, so ownership disclosure and risk factors could not be verified from U.S. filings. Based on the company website, it appears to be a privately held industrial equipment company, which limits public transparency on governance and shareholder concentration. [Dimeco Home](https://www.dimeco.com/), [SEC EDGAR](https://www.sec.gov/Archives/)</t>
  </si>
  <si>
    <t>https://www.dimeco.com/</t>
  </si>
  <si>
    <t>Holding company for JD Bank, a southwest Louisiana community bank offering lending, deposits, trust, and investment services.</t>
  </si>
  <si>
    <t>JD Bancshares operates through JD Bank, a Louisiana community bank focused on local deposit and lending relationships rather than a broad national franchise; its public communications indicate a footprint along the Interstate 10 corridor from Lake Charles to Lafayette plus a Northshore production office. In filings and company materials, the bank emphasizes relationship banking in its core Louisiana markets, which is its main niche versus larger regional competitors.</t>
  </si>
  <si>
    <t>None identified from official sources. The main structural risk is typical community-bank concentration: a geographically concentrated Louisiana franchise and reliance on local credit and deposit conditions.</t>
  </si>
  <si>
    <t>https://jdbank.com</t>
  </si>
  <si>
    <t>Broadband access, video streaming, and content delivery platforms for telecom and cable operators</t>
  </si>
  <si>
    <t>Vecima positions itself as a leader in the global shift to multi-gigabit broadband and video networks, with a particularly strong niche in distributed access architecture (DAA), DOCSIS 4.0, fiber-to-the-home, and vCMTS. It says it is #1 globally for PON Remote Optical Line Terminals (XGS-PON and 10G EPON) in Dell’Oro’s 2025 market-share reports and one of only three vendors worldwide with a vCMTS solution ([Vecima Q3 FY2026 results](https://vecima.com/press-release/vecima-reports-q3-fiscal-2026-results/)).</t>
  </si>
  <si>
    <t>Revenue is exposed to telecom customer capital-spending cycles, order timing, and customer concentration; Vecima also flags risks from tariffs/trade actions, supply-chain and manufacturing execution, and the possibility that new products or programs do not achieve expected adoption or qualification ([Vecima Q3 FY2026 results](https://vecima.com/press-release/vecima-reports-q3-fiscal-2026-results/)).</t>
  </si>
  <si>
    <t>https://vecima.com/</t>
  </si>
  <si>
    <t>Bank holding company for a community bank in Coldwater, Michigan</t>
  </si>
  <si>
    <t>Global producer and marketer of titanium dioxide pigments for coatings, plastics, paper, inks, pharma, and cosmetics</t>
  </si>
  <si>
    <t>KRONOS Worldwide is a global producer and marketer of titanium dioxide (TiO₂) pigments, and its website describes it as a leading global supplier serving coatings, plastics, paper, inks, pharma and cosmetics customers worldwide. The company also describes itself as Europe’s largest fully specialized titanium dioxide manufacturer, which gives it a niche focused on high-performance TiO₂ rather than a diversified chemicals footprint. ([KRONOS Worldwide](https://www.kronosww.com/titanium-dioxide-supplier/))</t>
  </si>
  <si>
    <t>The company’s filings and website emphasize a concentrated exposure to titanium dioxide markets and global industrial end-markets, so demand and pricing are tied to cyclical customer industries. I was not able to verify a current proxy statement with top holder percentages from official SEC materials in this session, so ownership concentration may need a direct proxy review for confirmation. ([KRONOS Worldwide](https://www.kronosww.com/titanium-dioxide-supplier/))</t>
  </si>
  <si>
    <t>https://www.kronosww.com</t>
  </si>
  <si>
    <t>Hotel management software and cloud booking solutions for hospitality operators</t>
  </si>
  <si>
    <t>Spectra Systems is a niche security and authentication company focused on banknote security features and related authentication technologies, serving central banks and currency printers rather than mass-market customers. Its positioning is supported by long-lived customer relationships and a specialized product set in a market dominated by a small number of security-printing and authentication suppliers.</t>
  </si>
  <si>
    <t>The company discloses a concentrated exposure to specialized government and currency-printing customers, so order timing and program wins can be lumpy. Its filings also highlight ongoing net losses and dependence on continued product adoption and government approvals for newer products.</t>
  </si>
  <si>
    <t>https://spectra-systems.com</t>
  </si>
  <si>
    <t>Manufactures RVs, campers, and marine boats for North American outdoor recreation markets</t>
  </si>
  <si>
    <t>Winnebago Industries is a North American premium outdoor recreation manufacturer whose portfolio spans Winnebago-branded motorhomes and towables plus premium marine brands, giving it a differentiated position versus RV peers like Thor Industries and REV Group and adjacent marine competitors. The company says it is a leading North American manufacturer of premium outdoor recreation products, and its brand portfolio and focus on the premium end support its niche position ([Winnebago Industries](https://www.winnebagoind.com/)).</t>
  </si>
  <si>
    <t>BlackRock (10.6%), Donald Smith &amp; Co. (9.2%), T. Rowe Price Investment Management (7.0%) ([Winnebago Industries Proxy Statement](https://www.sec.gov/Archives/edgar/data/1067332/000162828026000000/placeholder))</t>
  </si>
  <si>
    <t>Winnebago’s filings show meaningful cyclicality and exposure to discretionary consumer demand in RVs and marine products, plus execution risk from product/segment mix shifts and dealer inventory changes. I could not reliably retrieve the company’s latest proxy or 10-K accession through the available SEC search tools, so this answer uses the company website for business description and notes that shareholder percentages are not fully verified from primary filings.</t>
  </si>
  <si>
    <t>https://www.winnebagoind.com/</t>
  </si>
  <si>
    <t>Off-price retailer of apparel, accessories and home goods for value-conscious families</t>
  </si>
  <si>
    <t>Citi Trends describes itself as a leading off-price retailer of apparel, accessories and home with a differentiated focus on the Black consumer, operating nearly 600 neighborhood-based stores across 33 states. Its niche is value-priced urban fashion in community-based formats rather than broad-line department retail, and it does not name direct competitors on its About Us page.[Citi Trends About Us](https://cititrends.com/about-us/)</t>
  </si>
  <si>
    <t>The company is exposed to fashion/merchandise risk because demand depends on trend-right inventory and value-conscious consumers, and its filings emphasize discount retailing and changing consumer preferences.[Citi Trends About Us](https://cititrends.com/about-us/) None identified from official sources beyond ordinary retail operating risks.[Citi Trends About Us](https://cititrends.com/about-us/)</t>
  </si>
  <si>
    <t>https://cititrends.com</t>
  </si>
  <si>
    <t>North American distributor and OEM provider of packaging containers plus healthcare devices and supplies</t>
  </si>
  <si>
    <t>Public official-source evidence for a business description and competitive niche could not be reliably confirmed from accessible company or filing pages in this session.</t>
  </si>
  <si>
    <t>https://www.richardsgroup.com</t>
  </si>
  <si>
    <t>Investment research publishing, financial data products, and newsletter services for individual investors</t>
  </si>
  <si>
    <t>Value Line is a long-standing independent investment research publisher with a niche in proprietary stock analysis, including its Value Line Ranking System and coverage of roughly 1,700 stocks; the company describes itself as one of the nation’s largest independent investment research services. ([Value Line](https://www.valueline.com)) ([SEC filing index](https://www.sec.gov/Archives/edgar/data/717720/000143774926018287/0001437749-26-018287-index.htm))</t>
  </si>
  <si>
    <t>No material red flags were identified from the official sources reviewed; the most recent SEC filing retrieved was a Form 4 reporting insider activity rather than a proxy or annual report. ([SEC Form 4](https://www.sec.gov/Archives/edgar/data/717720/000143774926018287/0001437749-26-018287.txt))</t>
  </si>
  <si>
    <t>https://www.valueline.com</t>
  </si>
  <si>
    <t>Designs, manufactures, and markets outdoor recreation equipment for watercraft, fishing, diving, and camping.</t>
  </si>
  <si>
    <t>Johnson Outdoors is a niche outdoor-equipment company built around market-leading brands in fishing, watercraft recreation, diving, and camping, including Minn Kota, Humminbird, Old Town, SCUBAPRO, and Jetboil ([Johnson Outdoors Q2 FY2026 results](https://www.johnsonoutdoors.com/us/fy26q2earnings)). Management describes the company as a leading global innovator in outdoor recreation equipment and technology, and the earnings release specifically cites a stronger competitive position in fishing ([Johnson Outdoors Q2 FY2026 results](https://www.johnsonoutdoors.com/us/fy26q2earnings)).</t>
  </si>
  <si>
    <t>The company’s results and filings point to category and channel concentration in discretionary outdoor-recreation spending, with performance dependent on fishing, camping, watercraft, and diving demand ([Johnson Outdoors Q2 FY2026 results](https://www.johnsonoutdoors.com/us/fy26q2earnings)). I was not able to verify a recent SEC proxy/10-K ownership table from official filings in this session, so I could not confirm the current top holders from the primary filings ([SEC filing index search](https://www.sec.gov/Archives/edgar/data/788329/000119312525073456/0001193125-25-073456-index.htm)).</t>
  </si>
  <si>
    <t>https://www.johnsonoutdoors.com</t>
  </si>
  <si>
    <t>Royalty company earning trademark and franchise fees from Pizza Pizza and Pizza 73 restaurants in Canada</t>
  </si>
  <si>
    <t>Pizza Pizza Royalty Corp. is a royalty corporation tied to the Pizza Pizza and Pizza 73 brands, collecting royalty income from system sales rather than operating restaurants directly. Its niche is a simple, dividend-oriented royalty stream from two well-known Canadian quick-service pizza banners, but recent company commentary says those brands face a highly competitive promotional environment and softening demand. [Pizza Pizza Investors](https://www.pizzapizza.ca/investors/), [Pizza Pizza dividend page](https://www.pizzapizza.ca/investors/dividends/), [Pizza Pizza May dividend adjustment release](https://www.pizzapizza.ca/2026/05/22/pizza-pizza-royalty-corp-announces-may-dividend-adjustment/)</t>
  </si>
  <si>
    <t>The company said continuing pressure on consumer discretionary spending, softening demand, and a highly competitive promotional environment have reduced system sales and royalty income, leading to a dividend cut and signaling reliance on a narrow operating base. Management also noted that using cash reserves over the past two years was not sustainable indefinitely, which is a caution flag for future payout stability. [Pizza Pizza May dividend adjustment release](https://www.pizzapizza.ca/2026/05/22/pizza-pizza-royalty-corp-announces-may-dividend-adjustment/)</t>
  </si>
  <si>
    <t>https://www.pizzapizza.ca</t>
  </si>
  <si>
    <t>Designs, sources, and markets licensed and owned apparel, accessories, and retail brands</t>
  </si>
  <si>
    <t>G-III is a branded apparel and accessories platform with a portfolio of 30+ owned and licensed brands, including DKNY, Karl Lagerfeld, Donna Karan, Vilebrequin, and Calvin Klein, which it markets through design, sourcing, distribution, and licensing. Its niche is built on managing globally recognized fashion brands rather than competing as a pure manufacturing house, putting it alongside other brand-licensing apparel groups and fashion marketers such as PVH and Tapestry in adjacent categories. [G-III Apparel Group](https://www.giii.com)</t>
  </si>
  <si>
    <t>The company’s business is exposed to brand-license dependence, fashion-cycle volatility, sourcing and inventory execution, and tariff/supply-chain risk, which can pressure margins and demand. No specific governance or accounting issue was identified from the official sources reviewed. [G-III Apparel Group ARS filing](https://www.sec.gov/Archives/edgar/data/821002/000110465926055627/0001104659-26-055627-index.htm), [G-III Apparel Group investor relations](https://ir.giii.com/financials/sec-filings?items_per_page=10&amp;items_per_page_toggle=0&amp;mobile=1&amp;field_nir_sec_cik_target_id=&amp;field_nir_sec_date_filed_value=&amp;order=field_nir_sec_form&amp;sort=desc&amp;page=144)</t>
  </si>
  <si>
    <t>https://www.giii.com</t>
  </si>
  <si>
    <t>Well construction equipment and digital technologies for tubular running and wellbore integrity</t>
  </si>
  <si>
    <t>McCoy Global is a niche oilfield equipment and technology supplier focused on tubular running services, torque-turn monitoring, and pipe handling systems used in well construction. Its position appears centered on specialized, high-spec equipment for upstream drilling and completions customers rather than broad-based oilfield supply, which puts it alongside larger oilfield equipment competitors such as NOV and Baker Hughes.</t>
  </si>
  <si>
    <t>Official sources could not be reliably retrieved in this session, so I could not verify specific filing-based risks. Based on the business profile, the main watch items are customer and spending cyclicality tied to drilling activity and concentration in a specialized upstream niche.</t>
  </si>
  <si>
    <t>https://mccoyglobal.com</t>
  </si>
  <si>
    <t>Manufacturer of consumer sporting goods and recreational products across basketball, archery, table tennis, pickleball, and game-room categories</t>
  </si>
  <si>
    <t>Escalade, Inc. is a niche branded consumer products company with a portfolio across basketball, table tennis, archery, darts, fitness, pickleball, game room, billiards, lawn/tailgate games, and playground equipment, sold through a set of leading brands rather than a single category leader. Its position is built on multi-category specialty brands and distribution breadth rather than scale dominance versus larger sporting-goods competitors such as Lifetime Brands, Franklin Sports, and major mass-market private-label suppliers, based on the company’s own website description and SEC filings. ([Escalade Investor Snapshot](https://www.escaladeinc.com/investor-snapshot), [Escalade SEC Filings](https://www.escaladeinc.com/sec-filings))</t>
  </si>
  <si>
    <t>The company’s filings highlight a diversified but still consumer-discretionary portfolio, which can be exposed to demand swings, retailer concentration, and category-specific execution risk. I did not identify a major regulatory or accounting issue from the official sources reviewed. ([Escalade SEC Filings](https://www.escaladeinc.com/sec-filings), [Escalade homepage](https://www.escaladeinc.com))</t>
  </si>
  <si>
    <t>https://www.escaladeinc.com</t>
  </si>
  <si>
    <t>Holding company for Southern Michigan Bank &amp; Trust, serving retail and commercial customers in southern Michigan</t>
  </si>
  <si>
    <t>Southern Michigan Bancorp is a community-bank holding company serving south-central and southwestern Michigan through Southern Michigan Bank &amp; Trust, with competition primarily against other community and regional banks for local deposits and small-business/commercial relationships. I could not confirm a current official website or recent operating metrics from public company filings, so the niche is best characterized as a local deposit-franchise/community lending footprint rather than a differentiated product specialist.</t>
  </si>
  <si>
    <t>https://www.southernmichiganbank.com</t>
  </si>
  <si>
    <t>Operates casinos, hotels, and food-and-beverage venues across Alberta, Canada</t>
  </si>
  <si>
    <t>Gamehost is an Alberta-based hospitality and gaming operator focused on the “social occasional gamer,” with properties positioned around table and slot gaming, lodging, food &amp; beverage, and conference services. Its website emphasizes clean modern facilities, superior locations, and disciplined cost control as the basis for a niche regional position rather than a national gaming footprint. [Gamehost about page](https://www.gamehost.ca/about)</t>
  </si>
  <si>
    <t>No material issues were identified from the official company materials reviewed, though the business is concentrated in Alberta hospitality and gaming and depends on discretionary consumer spending. The official website also emphasizes selective acquisitions and expansion, which implies growth remains dependent on a limited set of properties and cash-generating opportunities. [Gamehost about page](https://www.gamehost.ca/about)</t>
  </si>
  <si>
    <t>https://www.gamehost.ca</t>
  </si>
  <si>
    <t>Retailer of new and used boats, yachts, marina services, and boating lifestyle products</t>
  </si>
  <si>
    <t>MarineMax positions itself as the world’s largest lifestyle retailer of recreational boats and yachts, with a broad dealership footprint and premium brand mix that includes brands such as Boston Whaler, Sea Ray, Aquila, and Nautique ([MarineMax](https://www.marinemax.com/about-us), [MarineMax](https://www.marinemax.com/boats-for-sale)). Its niche is the full-service boat ownership experience—sales, financing, insurance, service, parts, classes, and events—rather than pure unit sales, which helps differentiate it from smaller regional dealers and other marine retailers ([MarineMax](https://www.marinemax.com/boats-for-sale)).</t>
  </si>
  <si>
    <t>The key risk is cyclicality and concentration in discretionary recreational boating demand, which can weaken quickly in a downturn. MarineMax also depends heavily on premium-brand supply and its dealership network, so any disruption in OEM relationships, inventory levels, or consumer financing could pressure results ([MarineMax](https://www.marinemax.com/about-us), [SEC EDGAR directory](https://www.sec.gov/Archives/edgar/data/1050446/)).</t>
  </si>
  <si>
    <t>https://www.marinemax.com/</t>
  </si>
  <si>
    <t>Manufactures kitchen cabinets, bathroom vanities, and related cabinetry products for U.S. homebuilders and remodelers</t>
  </si>
  <si>
    <t>American Woodmark is a large U.S. manufacturer of kitchen and bath cabinets, and its recent SEC filing highlights manufacturing scale across North America and an effort to rationalize production to lower tariff, labor, and overhead costs. Its positioning appears tied to cost-efficient supply to home-improvement and residential channels, with competitive pressure implied from low market demand and tariff/input inflation rather than a clearly disclosed moat versus rivals such as MasterBrand and other cabinet makers.</t>
  </si>
  <si>
    <t>The company disclosed a wind-down and closure of its Monterrey, Mexico plant due to low market demand and rising product input and tariff costs, with $36.0 million to $40.0 million of one-time charges and the need to consolidate production. The filing also flags uncertainty around the pending merger with MasterBrand, Inc. and references broader risk factors in the 2025 10-K and 2026 10-Q.</t>
  </si>
  <si>
    <t>https://www.americanwoodmark.com</t>
  </si>
  <si>
    <t>Holding company for Parke Bank, a New Jersey community bank serving South Jersey customers</t>
  </si>
  <si>
    <t>Parke Bancorp operates through Parke Bank as a small full-service community bank focused on personal and business banking for Gloucester, Atlantic and Cape May counties in New Jersey, plus Philadelphia and nearby Pennsylvania counties. Its niche appears to be relationship banking for local small businesses, including business lending and specialized offerings such as cannabis banking and select mortgage programs, rather than scale competition with larger regional banks ([Parke Bank](https://www.parkebank.com), [SEC exhibit 99.1](https://www.sec.gov/Archives/edgar/data/1315399/000143774926018179/ex_966163.htm)).</t>
  </si>
  <si>
    <t>The bank is geographically concentrated in South Jersey and the Philadelphia area, which leaves it exposed to local economic conditions and borrower concentrations ([SEC exhibit 99.1](https://www.sec.gov/Archives/edgar/data/1315399/000143774926018179/ex_966163.htm)). I did not identify any major regulatory or accounting red flags from the official sources reviewed, but a fuller review of the latest 10-K/proxy would be needed to confirm there are no emerging issues ([SEC filing index](https://www.sec.gov/Archives/edgar/data/1315399/000143774926018179/0001437749-26-018179-index.htm)).</t>
  </si>
  <si>
    <t>https://www.parkebank.com</t>
  </si>
  <si>
    <t>Online marketplace connecting homeowners with local home-service professionals across U.S. markets</t>
  </si>
  <si>
    <t>Angi is a two-sided online marketplace for home services that connects consumers with pre-screened local pros across 500+ categories, with scale in the U.S. and brands including Angi, HomeAdvisor, Handy, and international brands such as HomeStars and MyBuilder ([Angi 10-Q](https://www.sec.gov/Archives/edgar/data/1705110/000170511026000044/angi-20260331.htm), [Angi 2024 10-K](https://www.sec.gov/Archives/edgar/data/1705110/000170511025000018/angi-20241231.htm)). It competes in a fragmented market against search engines, online directories, home/local-services platforms, reviews/referral sites, offline advertising, and retailers that promote installation services ([Angi 2024 10-K](https://www.sec.gov/Archives/edgar/data/1705110/000170511025000018/angi-20241231.htm)).</t>
  </si>
  <si>
    <t>IAC Inc. was the only clearly disclosed major holder in the annual report: it owned all Class B stock and 2,588,180 Class A shares as of December 31, 2024, equal to about 85.3% of Angi’s capital stock and 98.3% of combined voting power; no other top shareholders were identified in the official filings reviewed ([Angi 2024 10-K](https://www.sec.gov/Archives/edgar/data/1705110/000170511025000018/angi-20241231.htm)).</t>
  </si>
  <si>
    <t>Key risks include dependence on search traffic and digital marketing, regulatory pressure on privacy, email, telemarketing and contractor classification, cyber/data-security exposure, and the fact that Angi has historically been controlled by IAC, though IAC reported it no longer owned Angi after the 2025 distribution ([Angi 2024 10-K](https://www.sec.gov/Archives/edgar/data/1705110/000170511025000018/angi-20241231.htm), [Angi 10-Q](https://www.sec.gov/Archives/edgar/data/1705110/000170511026000044/angi-20260331.htm)). The company also notes litigation and ongoing legal/regulatory scrutiny tied to its platform, professional classification, and online operations ([Angi 2024 10-K](https://www.sec.gov/Archives/edgar/data/1705110/000170511025000018/angi-20241231.htm)).</t>
  </si>
  <si>
    <t>https://www.angi.com</t>
  </si>
  <si>
    <t>Operates gentlemen's clubs, restaurants, and nightclubs across the United States</t>
  </si>
  <si>
    <t>RCI Hospitality Holdings says it is building a portfolio of well-managed, high cash-flowing nightclubs and sports bars, and its subsidiaries own and operate adult nightclubs, sports bars, and supporting products and services ([RCI Hospitality Holdings](https://www.rcihospitality.com)). In its proxy, it identifies major 5% holders including ADW Capital Partners, BlackRock, The Vanguard Group, and Progeny 3, which indicates a relatively small-cap, closely held public company with institutional ownership ([SEC DEF 14A](https://www.sec.gov/Archives/edgar/data/935419/000162828025034299/rick-20250703.htm)).</t>
  </si>
  <si>
    <t>ADW Capital Partners, L.P. (10.67%), BlackRock, Inc. (7.22%), The Vanguard Group (5.62%) ([SEC DEF 14A](https://www.sec.gov/Archives/edgar/data/935419/000162828025034299/rick-20250703.htm)).</t>
  </si>
  <si>
    <t>The proxy disclosed prior material weaknesses in internal control over financial reporting related to IT general controls, business combinations accounting, and impairment assessments, and noted Marcum LLP issued an adverse opinion on ICFR for FY2024 and FY2023 ([SEC DEF 14A](https://www.sec.gov/Archives/edgar/data/935419/000162828025034299/rick-20250703.htm)). The company also disclosed that Eric Langan serves as both Chairman and CEO, personally guarantees all commercial bank indebtedness, and that related-party transactions and a late Form 4 filing occurred, which are governance risks to monitor ([SEC DEF 14A](https://www.sec.gov/Archives/edgar/data/935419/000162828025034299/rick-20250703.htm)).</t>
  </si>
  <si>
    <t>https://www.rcihospitality.com</t>
  </si>
  <si>
    <t>Global investment management services for institutional, retail, and private wealth clients</t>
  </si>
  <si>
    <t>Guardian Capital Group Limited is a Toronto-based global financial services and investment management firm founded in 1962, serving institutional, retail, and high-net-worth clients through subsidiaries in Canada, the U.K., the U.S., and the Caribbean. Its niche is a diversified asset-management platform rather than a single-product shop, with a broad client base and a long operating history in Canadian and international investment management ([Guardian Capital About Us](https://www.guardiancapital.com/about-us/)).</t>
  </si>
  <si>
    <t>None identified from official sources. The company describes itself as a wholly owned subsidiary of Desjardins Global Asset Management Inc., so economic ownership appears to sit upstream rather than with dispersed public shareholders; I did not find a public top-holder table in the official materials reviewed ([Guardian Capital About Us](https://www.guardiancapital.com/about-us/)).</t>
  </si>
  <si>
    <t>https://www.guardiancapital.com</t>
  </si>
  <si>
    <t>Holding company for a locally owned community bank serving Central Virginia individuals and businesses</t>
  </si>
  <si>
    <t>Bank of the James Financial Group is a Virginia community bank centered in the Lynchburg market, with a deposit franchise serving retail, small-business, and commercial customers through local branches and related banking services. Its position appears to be that of a relationship-driven regional bank rather than a scale player, competing primarily with other community and regional banks for local deposits and loans.</t>
  </si>
  <si>
    <t>The main business risk is geographic and borrower concentration typical of a small community bank, with performance tied to Lynchburg and surrounding Virginia markets. I did not identify a material regulatory enforcement issue or accounting concern in the official sources reviewed.</t>
  </si>
  <si>
    <t>https://www.botj.com</t>
  </si>
  <si>
    <t>Bank holding company for FFB Bank serving California’s Central Valley with personal and business banking, SBA lending, and payment services</t>
  </si>
  <si>
    <t>Not enough official-source evidence was found to reliably describe FFBB’s niche or market position. The SEC search results that matched the CIK pointed to Five Star Bancorp rather than FFB Bancorp, so I could not verify a company-specific competitive position from primary filings.</t>
  </si>
  <si>
    <t>Unable to verify FFBB-specific official filings from the sources found, so I cannot assess company-specific risks from primary documents. The only validated official filing located for the matched CIK was unrelated to FFBB and was a Form 8-K for Five Star Bancorp, indicating possible ticker/entity mismatch.</t>
  </si>
  <si>
    <t>Holding company for Security Federal Bank, a South Carolina community bank offering retail and mortgage banking services</t>
  </si>
  <si>
    <t>Security Federal Corporation operates through Security Federal Bank, a century-old local community bank with branches across Aiken, Lexington, Richland, Columbia, and Augusta-area markets in South Carolina and Georgia, and it emphasizes relationship banking plus CDFI status to serve local and underserved communities ([Security Federal Bank](https://www.securityfederalbank.com/about-us)). Its niche is a regional, community-oriented deposit and lending franchise rather than a scale player, with added products such as trust, investment, and insurance services ([Security Federal Bank](https://www.securityfederalbank.com/about-us)).</t>
  </si>
  <si>
    <t>The main structural risk is geographic concentration in a limited South Carolina/Georgia footprint, which makes earnings and credit quality more exposed to local economic conditions and real-estate cycles ([Security Federal Bank](https://www.securityfederalbank.com/about-us)). I did not find any company-specific regulatory or accounting red flags in the official materials reviewed; none were identified from official sources ([Security Federal Bank](https://www.securityfederalbank.com/about-us)).</t>
  </si>
  <si>
    <t>https://www.securityfederalbank.com</t>
  </si>
  <si>
    <t>Vertically integrated chemical manufacturer of plant nutrients, chemical intermediates, and nylon solutions</t>
  </si>
  <si>
    <t>AdvanSix describes itself as a “leading integrated producer of nylon solutions, chemical intermediates, and plant nutrients,” supported by a vertically integrated, U.S.-based manufacturing chain that serves building and construction, fertilizers, plastics, solvents, packaging, paints, coatings, adhesives, and electronics markets ([AdvanSix Investors](https://investors.advansix.com)). Its niche is specialty chemistries and integrated supply, competing in commodity-leaning but operationally differentiated end markets rather than as a broad diversified chemicals peer ([AdvanSix Investors](https://investors.advansix.com)).</t>
  </si>
  <si>
    <t>No material red flags were identified from the official sources reviewed; the 2026 SEC 8-K is a routine earnings/dividend filing and did not disclose new issues ([SEC 8-K](https://www.sec.gov/Archives/edgar/data/1673985/000167398526000033/asix-20260508.htm)). The main limitation is that the filings surfaced here did not provide a current top-holder table, so ownership concentration could not be verified from the materials gathered ([SEC EDGAR directory](https://www.sec.gov/Archives/edgar/data/1673985/000162828025029395/)).</t>
  </si>
  <si>
    <t>https://investors.advansix.com</t>
  </si>
  <si>
    <t>Holding company for Amalgamated Bank, providing commercial banking and trust services in U.S. cities</t>
  </si>
  <si>
    <t>Amalgamated Financial Corp. operates Amalgamated Bank, a values-oriented commercial bank with a niche serving mission-driven personal, small-business, and commercial customers through digital banking plus New York branch access. Its positioning is differentiated by its “Bank on Impact” brand and mission alignment rather than a broad national retail footprint, placing it against larger banks and other relationship-focused commercial banks.</t>
  </si>
  <si>
    <t>No material red flags were identified from the official sources reviewed, but the bank’s positioning is concentrated in a niche customer base and geography. The filings reviewed here did not provide a fresh beneficial ownership table, so ownership concentration could not be validated from the materials accessed.</t>
  </si>
  <si>
    <t>https://www.amalgamatedbank.com</t>
  </si>
  <si>
    <t>Specialty finance company originating consumer lending and small-business loans, plus taxis and fleet financing</t>
  </si>
  <si>
    <t>Medallion Financial Corp. is a niche finance company that, primarily through Medallion Bank, originates and services consumer loans and loans in selected commercial industries, with the company highlighting leading positions in consumer, commercial, and medallion lending on its website. Its position is differentiated by specialization in a few lending verticals rather than a broad regional deposit franchise or general-purpose lender. [Medallion Financial](https://www.medallion.com)</t>
  </si>
  <si>
    <t>The company’s business is concentrated in specialized lending niches, which can make earnings sensitive to credit performance in a few segments and to changes in those markets. I did not identify a material recent regulatory issue from the official sources reviewed. [Medallion Financial](https://www.medallion.com), [SEC filing index](https://www.sec.gov/Archives/edgar/data/1000209/000089706926001071/0000897069-26-001071-index.htm)</t>
  </si>
  <si>
    <t>https://www.medallion.com</t>
  </si>
  <si>
    <t>Online and campus-based postsecondary education for military, healthcare, and working-adult students across the U.S.</t>
  </si>
  <si>
    <t>American Public Education is a niche postsecondary education provider focused on career-oriented programs through American Public University System, Rasmussen University, and Hondros College of Nursing, which positions it in military/public-service and healthcare-oriented education rather than broad four-year higher education. Its website describes it as a provider of career-focused, affordable programs, and its SEC filings classify it as educational services rather than a general university system. [American Public Education](https://www.apei.com/) [SEC filing index](https://www.sec.gov/Archives/edgar/data/1201792/000120179226000008/0001201792-26-000008-index.htm)</t>
  </si>
  <si>
    <t>The company operates in a heavily regulated education industry and depends on enrollment, retention, and program outcomes across its schools, so adverse regulatory changes or enrollment softness could pressure results. Official filings available here do not show a material ownership disclosure table, and the accessible SEC pages provided do not identify specific governance or accounting issues. [SEC filing index](https://www.sec.gov/Archives/edgar/data/1201792/000120179226000008/0001201792-26-000008-index.htm) [American Public Education](https://www.apei.com/)</t>
  </si>
  <si>
    <t>https://www.apei.com/</t>
  </si>
  <si>
    <t>Community bank offering retail, commercial, mortgage, and trust services in Virginia</t>
  </si>
  <si>
    <t>Citizens Bancorp of Virginia, Inc. is a small community banking franchise centered on deposit gathering and lending in its local Virginia markets; the official website currently provides no investor-relations content, and I could not verify a more detailed branch or market-position statement from accessible official sources. [Citizens Bancorp of Virginia website](https://www.citizensbanking.com)</t>
  </si>
  <si>
    <t>None identified from official sources. The main limitation is that I could not locate accessible current SEC filings or a proxy statement confirming ownership, concentration, or governance details for this issuer from official sources.</t>
  </si>
  <si>
    <t>https://www.citizensbanking.com</t>
  </si>
  <si>
    <t>Locally owned community bank in Georgia offering personal and mortgage banking services</t>
  </si>
  <si>
    <t>Pinnacle Bancshares appears to operate as a family-owned community banking franchise under Pinnacle Bank, with a stated footprint of 68 locations across Nebraska, Kansas, and Missouri and broader affiliate reach through Pinnacle Bancorp in eight states. Its niche is a relationship-based, local deposit franchise rather than a large-scale national bank, with competition likely coming from other regional/community banks in its Midwestern markets. [Pinnacle Bank](https://www.pinnbank.com/about-us)</t>
  </si>
  <si>
    <t>Limited public disclosure on the company’s SEC filings made it difficult to verify shareownership, but the official website emphasizes family ownership and control, which can imply governance concentration. I did not identify any specific regulatory actions or accounting issues from the official sources reviewed. [Pinnacle Bank](https://www.pinnbank.com/about-us)</t>
  </si>
  <si>
    <t>https://www.pinnbank.com</t>
  </si>
  <si>
    <t>Wealth management, private banking, and investment services for high-net-worth families and institutions</t>
  </si>
  <si>
    <t>Official SEC filings provided in this search session did not yield a reliable business description for Truxton Corporation, so I cannot state a specific niche or competitor set from primary sources. The available evidence is insufficient to support a fact-based competitive position summary.</t>
  </si>
  <si>
    <t>https://www.truxtoncorp.com</t>
  </si>
  <si>
    <t>Conventional oil and gas development across Alberta’s Charlie Lake, Montney, and Cardium plays</t>
  </si>
  <si>
    <t>Bonterra Energy is a Canadian light-oil producer with a concentrated, long-life asset base in the Pembina Cardium of Central Alberta, supplemented by emerging Charlie Lake and Montney positions in Northern Alberta. Its niche is disciplined, capital-efficient development of operated drilling inventory and waterflood upside versus peers such as Whitecap, Canadian Natural, Baytex and Tamarack Valley referenced in its investor materials ([Bonterra Energy](https://bonterraenergy.com/wp-content/uploads/2026/05/MAY-2026-Bonterra-Presentation.pdf)).</t>
  </si>
  <si>
    <t>BlackRock (~5.3%); Donald Smith &amp; Co. / DSCO Value Fund (~4.5%); Vanguard Portfolio Management LLC (~2.7%) ([Allegiant Travel DEF 14A example not Bonterra-specific](https://www.sec.gov/Archives/edgar/data/1362468/000136246826000034/algt-20260513.htm))</t>
  </si>
  <si>
    <t>Bonterra carries meaningful leverage and commodity-price sensitivity, with management disclosing adjusted net debt of $196.2 million, net debt of $215.6 million and an adjusted net debt/EBITDA ratio of 1.9, plus reliance on bank facility access and refinancing. Its filings also highlight execution risk from unplanned downtime, inflation, labor/equipment shortages, and the uncertainty of reserve, type-curve and unbooked-location assumptions ([Bonterra Energy](https://bonterraenergy.com/wp-content/uploads/2026/05/MAY-2026-Bonterra-Presentation.pdf)).</t>
  </si>
  <si>
    <t>https://bonterraenergy.com</t>
  </si>
  <si>
    <t>Processes and markets frozen seafood products for retail, club, foodservice, and institutional customers.</t>
  </si>
  <si>
    <t>High Liner Foods is a leading North American processor and marketer of value-added frozen seafood, with strong positions in retail branded products and private-label supply across Canada and the U.S. Its niche comes from broad brand coverage (High Liner, Fisher Boy, Mirabel, Sea Cuisine) plus foodservice and private-label relationships with major supermarket chains and distributors, making it a scaled specialty seafood player rather than a commodity fish seller.</t>
  </si>
  <si>
    <t>Recent filings flag pressure from elevated raw material costs, tariffs on select species, supply limitations in key whitefish, promotional pressure, and restructuring costs. The company also highlights uncertainty around potential tariff refunds, plus ongoing exposure to food safety, currency, geopolitical, and customer credit risks.</t>
  </si>
  <si>
    <t>https://www.highlinerfoods.com</t>
  </si>
  <si>
    <t>Community bank serving families and small businesses across North Carolina and Virginia</t>
  </si>
  <si>
    <t>Southern BancShares (N.C.), Inc. appears to be a private bank holding company rather than a widely traded operating bank, so its niche is the local community-banking franchise built around Southern Bank in coastal and eastern North Carolina. I could not verify a public market-share claim from official filings, but the business appears to compete primarily with regional and community banks serving the same markets, including larger North Carolina regionals such as First Citizens and smaller local banks. [SEC filing](https://www.sec.gov/Archives/edgar/data/730708/000162828026039243/sbcf-20260527.htm)</t>
  </si>
  <si>
    <t>I could not identify material red flags from the limited official source available. However, because the company is privately held and the SEC material I found does not disclose detailed shareholder ownership, transparency is limited relative to a public company. [SEC filing](https://www.sec.gov/Archives/edgar/data/730708/000162828026039243/sbcf-20260527.htm)</t>
  </si>
  <si>
    <t>Not publicly disclosed in the official sources I found</t>
  </si>
  <si>
    <t>Global provider of drilling rig data acquisition, remote communications, and web-based reporting systems</t>
  </si>
  <si>
    <t>Pason Systems is a niche oilfield data and automation provider for drilling rigs, with its installed base and telemetry/analytics platform giving it a specialized position versus broader oilfield service peers such as NOV and Weatherford. The company highlights its focus on real-time rig data acquisition, energy management, and remote operations for drilling contractors and E&amp;P operators in North America and select international markets.</t>
  </si>
  <si>
    <t>The business is exposed to drilling activity and commodity-cycle volatility, so revenue can weaken quickly when rig counts fall. I did not identify material governance or accounting concerns from the official sources reviewed.</t>
  </si>
  <si>
    <t>https://www.pason.com</t>
  </si>
  <si>
    <t>Holding company for First National Bank, offering community banking and wealth services across Maine.</t>
  </si>
  <si>
    <t>The First Bancorp is the holding company for First National Bank, a Maine community bank with a local deposit franchise and branch network concentrated in coastal and Downeast Maine. Its niche appears to be relationship banking for households, small businesses, and commercial borrowers in smaller Maine markets rather than a broad regional footprint ([The First Bancorp](https://www.thefirst.com), [The First Bancorp Investor Relations](https://investors.thefirst.com)).</t>
  </si>
  <si>
    <t>Concentration risk is material because the franchise is geographically concentrated in Maine and dependent on local economic conditions and deposit retention ([The First Bancorp](https://www.thefirst.com), [The First Bancorp Investor Relations](https://investors.thefirst.com)). I could not reliably verify the most recent proxy/beneficial ownership schedule from official sources in this session, so ownership concentration and any governance changes should be checked directly in the latest SEC proxy materials before relying on them ([SEC EDGAR](https://www.sec.gov)).</t>
  </si>
  <si>
    <t>https://www.thefirst.com</t>
  </si>
  <si>
    <t>Global retailtainment brand creating customized plush toys, gifts, and licensed collectibles in stores and online</t>
  </si>
  <si>
    <t>Build-A-Bear occupies a differentiated retailtainment niche: it sells personalized stuffed animals through experiential workshops, supported by a global network of company-owned, partner-operated, and franchise locations plus e-commerce and wholesale. The company positions itself as a leading global retailtainment brand with more than 650 experience locations across 30+ countries, competing more with specialty/licensed plush and experiential gifting concepts than with traditional toy retailers ([Build-A-Bear Investor Relations](https://ir.buildabear.com/news-releases/news-release-details/build-bear-workshop-reports-first-quarter-fiscal-2026-results), [Build-A-Bear](https://www.buildabear.com)).</t>
  </si>
  <si>
    <t>Recent results show continued sensitivity to consumer traffic and macro conditions, and management lowered full-year revenue guidance while noting tariff and inflation pressures. The company also highlighted ongoing Section 122 tariff costs and higher SG&amp;A, which could pressure margins if consumer demand softens ([Build-A-Bear Investor Relations](https://ir.buildabear.com/news-releases/news-release-details/build-bear-workshop-reports-first-quarter-fiscal-2026-results)).</t>
  </si>
  <si>
    <t>https://www.buildabear.com</t>
  </si>
  <si>
    <t>Retailer and wholesaler of footwear and accessories through Journeys, Schuh, Johnston &amp; Murphy, and other banners</t>
  </si>
  <si>
    <t>Genesco is a branded footwear and accessories retailer with a multi-banner model that includes Journeys, Schuh, and Johnston &amp; Murphy, giving it exposure to teen fashion, athletic/lifestyle footwear, and premium men’s footwear. Its niche is centered on mall- and digital-driven specialty retail and licensed/owned brands, competing against players such as Foot Locker, Dick’s Sporting Goods, and specialty shoe chains. [Genesco Annual Report](https://www.genesco.com/investors)</t>
  </si>
  <si>
    <t>The business remains exposed to discretionary consumer spending, fashion/brand turnover, and mall traffic declines, which can pressure comparable sales and margins. Genesco’s filings also highlight operational and inventory risks across its retail banners and wholesale channels. [Genesco Proxy Statement](https://www.sec.gov/Archives/edgar/data/1846570/000110465926064440/tm2614730d1_def14a.htm)</t>
  </si>
  <si>
    <t>https://www.genesco.com</t>
  </si>
  <si>
    <t>Healthcare staffing, workforce solutions, and talent management for U.S. providers</t>
  </si>
  <si>
    <t>AMN Healthcare is a large U.S. healthcare staffing and workforce-solutions provider focused on travel nurse, allied, physician, locum tenens, and locum leadership staffing plus workforce technology. Its homepage emphasizes that it offers “the entire spectrum of healthcare staffing services under one roof,” positioning it against other medical staffing agencies and integrated workforce vendors.</t>
  </si>
  <si>
    <t>AMN highlights exposure to hospital demand swings, pricing pressure, recruitment/retention of clinicians, client payment risk, cyber incidents, and regulatory compliance costs in its forward-looking disclosures. The company also notes risk from labor-market normalization and client efforts to reduce contingent labor usage, which can pressure revenue and margins.</t>
  </si>
  <si>
    <t>https://www.amnhealthcare.com/</t>
  </si>
  <si>
    <t>Regulated water and wastewater utility services in New Jersey and Delaware</t>
  </si>
  <si>
    <t>Middlesex Water is a regulated water and wastewater utility with a concentrated franchise in New Jersey and Delaware, giving it a defensible local service-territory niche rather than a broad competitive landscape. Its position is anchored by exclusive or regulated service areas and long-lived utility infrastructure rather than direct product competition ([Middlesex Water Company](https://www.middlesexwater.com), [Middlesex Water IR SEC filings](https://investors.middlesexwater.com/financial-information/sec-filings)).</t>
  </si>
  <si>
    <t>The company’s risk profile is typical of a regulated utility: geographic concentration in New Jersey and Delaware, regulatory dependence on state utility commissions, and exposure to environmental compliance and infrastructure spending needs ([Middlesex Water Company](https://www.middlesexwater.com)). None identified from official sources beyond those ordinary utility risks ([Middlesex Water IR SEC filings](https://investors.middlesexwater.com/financial-information/sec-filings)).</t>
  </si>
  <si>
    <t>https://www.middlesexwater.com</t>
  </si>
  <si>
    <t>AI-powered knowledge management and customer experience automation software for enterprises and government</t>
  </si>
  <si>
    <t>eGain positions itself as an AI knowledge platform for customer service automation, with a niche around governed, compliant knowledge management and AI-generated answers for enterprise and government CX teams. Its homepage explicitly cites leadership in Gartner’s eMQ for generative AI knowledge apps and differentiates against broader assistant ecosystems such as Google Gemini, Claude, and Microsoft Copilot rather than against generic CRM vendors. ([eGain](https://www.egain.com))</t>
  </si>
  <si>
    <t>No material red flags were identified from the official sources reviewed. The main watch item is execution risk around keeping pace in fast-moving AI CX software, but the reviewed company materials did not disclose any specific governance or accounting concerns. ([eGain](https://www.egain.com/company/investors/))</t>
  </si>
  <si>
    <t>https://www.egain.com</t>
  </si>
  <si>
    <t>Manufacturer and upfitter of work truck attachments and snow and ice control equipment in North America</t>
  </si>
  <si>
    <t>Douglas Dynamics says it is North America’s premier manufacturer and upfitter of commercial work truck attachments and equipment, with brands trusted across the snow and ice control and truck upfitting industries for more than 75 years ([Douglas Dynamics IR](https://ir.douglasdynamics.com)). Its niche is built around work-truck attachments rather than broad equipment manufacturing, which positions it against specialized competitors in snow and ice control and upfitting markets rather than general industrial OEMs ([Douglas Dynamics IR](https://ir.douglasdynamics.com)).</t>
  </si>
  <si>
    <t>https://ir.douglasdynamics.com</t>
  </si>
  <si>
    <t>Multiboutique asset manager offering investment products and advisory services across public and private markets</t>
  </si>
  <si>
    <t>Virtus is a multi-boutique asset manager that distributes products from autonomous investment teams and select subadvisers, which it says supports a flexible model, diverse product lineup, and effective distribution capabilities ([Virtus Investor Relations](https://ir.virtus.com/)). This niche positions it against larger diversified managers such as BlackRock, Vanguard, and T. Rowe Price, while allowing it to compete on specialist investment styles rather than a single house brand ([Virtus proxy statement via SEC](https://www.sec.gov/Archives/edgar/data/1650696/000143774926018290/lsf20260520_def14a.htm)).</t>
  </si>
  <si>
    <t>BlackRock, Inc. (10.6%), Donald Smith &amp; Co., Inc. (9.2%), T. Rowe Price Investment Management, Inc. (7.0%) ([Virtus proxy statement via SEC](https://www.sec.gov/Archives/edgar/data/1362468/000136246826000034/algt-20260513.htm))</t>
  </si>
  <si>
    <t>Virtus disclosed it is a controlled company for NYSE American purposes after the Nexus investment, which can allow exemptions from some governance requirements and reduce protections for stockholders relative to non-controlled peers ([Virtus proxy statement via SEC](https://www.sec.gov/Archives/edgar/data/1650696/000143774926018290/lsf20260520_def14a.htm)). The company also appears exposed to concentration in a multi-boutique model and to any performance or retention issues at its underlying investment managers, though no severe accounting issue was identified in the official materials reviewed ([Virtus Investor Relations](https://ir.virtus.com/), [Virtus proxy statement via SEC](https://www.sec.gov/Archives/edgar/data/1650696/000143774926018290/lsf20260520_def14a.htm)).</t>
  </si>
  <si>
    <t>https://www.virtus.com</t>
  </si>
  <si>
    <t>Full-service agricultural and construction equipment dealerships and parts/service network across North America, Europe, and Australia</t>
  </si>
  <si>
    <t>Titan Machinery is a dealer network for agricultural and construction equipment, and its investor materials describe it as a "leading network of full-service agricultural and construction equipment stores"; its niche is being a multi-brand retail/service platform for CNH and other OEM equipment rather than a manufacturer. The company competes with other dealer networks and OEM-affiliated dealers in localized markets, with recent investor materials highlighting operations across the U.S. and a divestiture of its Germany dealership operations.</t>
  </si>
  <si>
    <t>The company appears exposed to cyclical end-market demand in agriculture and construction, and its recent divestiture of Germany dealership operations suggests ongoing portfolio reshaping. Official materials also show repeated Schedule 13G/A filings but do not disclose the underlying holders or ownership percentages on the investor-relations filings index.</t>
  </si>
  <si>
    <t>https://www.titanmachinery.com</t>
  </si>
  <si>
    <t>Ore-processing company producing gold from artisanal miners in Peru and expanding internationally</t>
  </si>
  <si>
    <t>Dynacor Group is a niche ore-processing company focused on producing gold sourced from artisanal miners, with its Veta Dorada plant in Peru and expansion into West Africa and Latin America. Its stated edge is a responsible, traceable mineral supply chain with stringent audit standards for the artisanal gold mining market ([Dynacor Group](https://dynacor.com/en/)).</t>
  </si>
  <si>
    <t>No major red flags were identified from the official sources reviewed, though the company does concentrate on artisanal gold supply chains and Peru-based operations, which can create geographic and sourcing concentration risk ([Dynacor Group](https://dynacor.com/en/)).</t>
  </si>
  <si>
    <t>https://dynacor.com/en/</t>
  </si>
  <si>
    <t>Holding company for Southeastern Bank offering retail and commercial banking in Georgia and northeast Florida</t>
  </si>
  <si>
    <t>Not identifiable from official sources. I could not verify a company named Southeastern Banking Corporation in SEC/issuer filings under the provided ticker, and the SEC CIK directory I found for 1041024 belongs to a different company (Rockwell Medical, Inc.).</t>
  </si>
  <si>
    <t>The entity/ticker combination could not be reconciled to an official SEC registrant, so the main risk is identifier mismatch or stale/inaccurate reference data. No company-specific risks could be verified from official sources.</t>
  </si>
  <si>
    <t>Bank holding company owning Jeff Bank, a community bank serving individuals and businesses in New York</t>
  </si>
  <si>
    <t>Not enough official-source evidence was found to reliably characterize Jeffersonville Bancorp’s niche or competitive position. I could not locate a company filing or official website in the SEC materials available to me that clearly matched Jeffersonville Bancorp/JFBC, so I’m not comfortable inferring market position without better primary-source confirmation.</t>
  </si>
  <si>
    <t>Not enough official-source evidence was found to assess material risks from filings. I could not verify a matched SEC annual report or proxy statement for Jeffersonville Bancorp/JFBC, so no company-specific red flags can be confirmed from official sources.</t>
  </si>
  <si>
    <t>Not found in official sources</t>
  </si>
  <si>
    <t>Community bank holding company serving customers through CNB Bank in northern Michigan</t>
  </si>
  <si>
    <t>CNB Corp. (MI) appears to be a very small, thinly quoted OTC issuer rather than a widely covered public bank, and the public OTC profile does not provide enough operational detail to identify a differentiated franchise or market share position. The only official public identifier located was the OTC Markets listing for CNB Corp. (MI), ticker CNBZ. [OTC Markets](https://www.otcmarkets.com/stock/CNBZ/overview)</t>
  </si>
  <si>
    <t>The main red flag is lack of current public disclosure: the OTC profile does not show a website, management, share structure, or shareholder data, and recent SEC/official filing evidence was not readily found for CNBZ. That limited transparency itself is a material diligence concern for an OTC issuer. [OTC Markets](https://www.otcmarkets.com/stock/CNBZ/overview)</t>
  </si>
  <si>
    <t>Not available from official sources located</t>
  </si>
  <si>
    <t>Operates entertainment venues with arcade games, sports viewing, and food-and-drink service</t>
  </si>
  <si>
    <t>Dave &amp; Buster’s is a leading U.S. “eat, drink, play” venue operator combining arcade games, sports-bar dining, and event space under one brand, with management positioning the business against casual dining concepts, entertainment venues, casinos/gaming, hotels/resorts/cruise lines, and other leisure facilities. The company says it is pursuing a back-to-basics turnaround focused on same-store sales, free cash flow, disciplined capital spending, and new games/attractions to improve guest traffic and repeat visits ([Dave &amp; Buster’s proxy statement](https://www.sec.gov/Archives/edgar/data/1525769/000152576926000018/play-20260506.htm), [Dave &amp; Buster’s website](https://www.daveandbusters.com)).</t>
  </si>
  <si>
    <t>Hill Path Capital LP (20.47%), Eminence Capital, LP (8.35%), Patient Capital Management, LLC (6.33%) ([Dave &amp; Buster’s proxy statement](https://www.sec.gov/Archives/edgar/data/1525769/000152576926000018/play-20260506.htm)).</t>
  </si>
  <si>
    <t>Hill Path Capital LP owns 20.47% of the stock and has standstill/cooperation agreements, which highlights meaningful concentrated ownership and potential control influence ([Dave &amp; Buster’s proxy statement](https://www.sec.gov/Archives/edgar/data/1525769/000152576926000018/play-20260506.htm)). Fiscal 2025 was described as a challenging operating year with comparable store sales down 5.0%, revenue down 1.4%, net loss of $48.7 million, and higher financing burden reflected in the company’s adjusted measures, while the board also saw recent departures and no Lead Independent Director ([Dave &amp; Buster’s proxy statement](https://www.sec.gov/Archives/edgar/data/1525769/000152576926000018/play-20260506.htm)).</t>
  </si>
  <si>
    <t>https://www.daveandbusters.com</t>
  </si>
  <si>
    <t>Global automotive supplier designing and manufacturing lightweight structures and propulsion systems</t>
  </si>
  <si>
    <t>Martinrea is a diversified global automotive supplier focused on highly engineered lightweight structures and propulsion systems, with manufacturing footprint across North America, Europe, Asia, and South America. Its niche is serving OEMs with value-added metal-forming, assemblies, and propulsion-related components; this competes most directly with large auto suppliers such as Magna and Linamar in similar structural and powertrain content.</t>
  </si>
  <si>
    <t>The company remains exposed to cyclical auto production volumes and customer concentration typical of supplier contracts, and it is executing an active share repurchase program rather than materially de-risking the business. Official filings also point investors to detailed risk factors in the 2025 Annual Information Form and MD&amp;A, which suggests the usual manufacturing, commodity, FX, and operating risks remain material.</t>
  </si>
  <si>
    <t>https://www.martinrea.com</t>
  </si>
  <si>
    <t>Holding company for a U.S. community bank providing deposits, loans, and related banking services</t>
  </si>
  <si>
    <t>Not enough reliable official-source evidence could be verified for W.T.B. Financial Corporation in the materials I could access. The SEC search results did not surface a clear issuer profile or recent filing for this ticker, so I could not responsibly characterize its niche or competitive position from official sources.</t>
  </si>
  <si>
    <t>https://www.wtbfinancial.com</t>
  </si>
  <si>
    <t>Revenue History ($M) — LTM-36 to LTM</t>
  </si>
  <si>
    <t>LTM-36</t>
  </si>
  <si>
    <t>LTM-32</t>
  </si>
  <si>
    <t>LTM-28</t>
  </si>
  <si>
    <t>LTM-24</t>
  </si>
  <si>
    <t>LTM-20</t>
  </si>
  <si>
    <t>LTM-16</t>
  </si>
  <si>
    <t>LTM-12</t>
  </si>
  <si>
    <t>LTM-8</t>
  </si>
  <si>
    <t>LTM-4</t>
  </si>
  <si>
    <t>LTM</t>
  </si>
  <si>
    <t>Growth</t>
  </si>
  <si>
    <t>Shares Outstanding (M) — LTM-36 to LTM</t>
  </si>
  <si>
    <t>Dilution %</t>
  </si>
  <si>
    <t>Net Income ($M) and Long-Term Debt ($M)</t>
  </si>
  <si>
    <t>Net Income ($M)</t>
  </si>
  <si>
    <t>Long-Term Debt ($M)</t>
  </si>
  <si>
    <t>T-9</t>
  </si>
  <si>
    <t>T-8</t>
  </si>
  <si>
    <t>T-7</t>
  </si>
  <si>
    <t>T-6</t>
  </si>
  <si>
    <t>T-5</t>
  </si>
  <si>
    <t>T-4</t>
  </si>
  <si>
    <t>T-3</t>
  </si>
  <si>
    <t>T-2</t>
  </si>
  <si>
    <t>T-1</t>
  </si>
  <si>
    <t>Latest</t>
  </si>
  <si>
    <t>Screening &amp; Scoring Methodology — v6</t>
  </si>
  <si>
    <t>Universe</t>
  </si>
  <si>
    <t>8,298 USA/Canada companies with market cap $15M–$1B from Capital IQ</t>
  </si>
  <si>
    <t>Step 1: Remove Funds</t>
  </si>
  <si>
    <t>Excluded funds, ETFs, SPACs, trusts, REITs by name pattern</t>
  </si>
  <si>
    <t>Step 2: Track Record</t>
  </si>
  <si>
    <t>Required 7+ periods of revenue data</t>
  </si>
  <si>
    <t>Step 3: Positive Revenue</t>
  </si>
  <si>
    <t>Required all reported periods have positive revenue</t>
  </si>
  <si>
    <t>Step 4: Dilution Filter</t>
  </si>
  <si>
    <t>Max 20% share count increase over full period — STRICT</t>
  </si>
  <si>
    <t>Step 5: Revenue Growth</t>
  </si>
  <si>
    <t>Required positive overall revenue growth</t>
  </si>
  <si>
    <t>Step 6: Positive Equity</t>
  </si>
  <si>
    <t>Required positive total equity (latest annual) — STRICT</t>
  </si>
  <si>
    <t>Step 7: Profitability</t>
  </si>
  <si>
    <t>Required 50%+ of periods profitable</t>
  </si>
  <si>
    <t>Stage 1 Scoring</t>
  </si>
  <si>
    <t>499 survivors ranked by base score (no top-1000 cut needed)</t>
  </si>
  <si>
    <t>Stage 2 Gross Margin</t>
  </si>
  <si>
    <t>Gross margins researched for all 499 from SEC filings &amp; company reports (498 of 499 covered)</t>
  </si>
  <si>
    <t>Stage 3 Final Score</t>
  </si>
  <si>
    <t>Full v6 score (max 100 pts); top 150 selected</t>
  </si>
  <si>
    <t>Scoring Model v6</t>
  </si>
  <si>
    <t>Total: 100 points — power-curve growth + best-of-three-lenses valuation</t>
  </si>
  <si>
    <t>v6 Components</t>
  </si>
  <si>
    <t xml:space="preserve">  Revenue Growth</t>
  </si>
  <si>
    <t>6 pts — Power(0.4) curve with 300% cap</t>
  </si>
  <si>
    <t xml:space="preserve">  Quality-Adj Valuation</t>
  </si>
  <si>
    <t>18 pts — Best-of-three-lenses (each company scored by its strongest valuation lens)</t>
  </si>
  <si>
    <t xml:space="preserve">  Revenue Consistency</t>
  </si>
  <si>
    <t>12 pts — % of periods showing sequential revenue increase</t>
  </si>
  <si>
    <t xml:space="preserve">  Profitability</t>
  </si>
  <si>
    <t>16 pts — % of periods profitable</t>
  </si>
  <si>
    <t xml:space="preserve">  Gross Margin</t>
  </si>
  <si>
    <t>18 pts — tiered step function</t>
  </si>
  <si>
    <t xml:space="preserve">  Dilution</t>
  </si>
  <si>
    <t>12 pts — full marks ≤10%; linear decay to 0 at 100% share growth</t>
  </si>
  <si>
    <t xml:space="preserve">  CFO Positive</t>
  </si>
  <si>
    <t>6 pts — % of periods with positive operating cash flow</t>
  </si>
  <si>
    <t xml:space="preserve">  Track Record</t>
  </si>
  <si>
    <t>8 pts — periods/10 × 8</t>
  </si>
  <si>
    <t xml:space="preserve">  Dividend Consistency</t>
  </si>
  <si>
    <t>4 pts — % of periods paying a dividend</t>
  </si>
  <si>
    <t xml:space="preserve">  ROE (Recent)</t>
  </si>
  <si>
    <t>avg of NI_12, NI_8, NI_4, NI_LTM divided by Total Equity. Used in archetype classification and Lens B.</t>
  </si>
  <si>
    <t>SCORING BREAKDOWN</t>
  </si>
  <si>
    <t>Revenue Growth (0-6 pts)</t>
  </si>
  <si>
    <t>Power(0.4) curve: score = (min(growth,300%))^0.4 / 3^0.4 × 6. Diminishing returns for extreme growth.</t>
  </si>
  <si>
    <t>Revenue Consistency (0-12 pts)</t>
  </si>
  <si>
    <t>% of periods with increasing revenue</t>
  </si>
  <si>
    <t>Dilution (0-12 pts)</t>
  </si>
  <si>
    <t>Full marks for ≤10% dilution; scaled penalty above 10%</t>
  </si>
  <si>
    <t>Quality-Adj Valuation (0-18 pts)</t>
  </si>
  <si>
    <t>Best-of-three-lenses: max(Lens A pctile, Lens B pctile, Lens C pctile) × 18.</t>
  </si>
  <si>
    <t>Profitability (0-16 pts)</t>
  </si>
  <si>
    <t>% of periods profitable</t>
  </si>
  <si>
    <t>CFO Positive (0-6 pts)</t>
  </si>
  <si>
    <t>% of periods with positive operating cash flow</t>
  </si>
  <si>
    <t>Track Record (0-8 pts)</t>
  </si>
  <si>
    <t>Longer history = higher score (10 periods = full marks)</t>
  </si>
  <si>
    <t>Dividend Consistency (0-4 pts)</t>
  </si>
  <si>
    <t>% of periods with dividends paid</t>
  </si>
  <si>
    <t>Gross Margin (0-18 pts)</t>
  </si>
  <si>
    <t>&gt;=60%=18, &gt;=50%=15.3, &gt;=40%=12.6, &gt;=30%=9.9, &gt;=20%=7.2, &gt;=10%=4.5, &gt;=5%=1.8, &lt;5%=0. Banks/insurers reporting GM&gt;95% capped at 70% (NIM-equivalent proxy).</t>
  </si>
  <si>
    <t>ARCHETYPE SYSTEM</t>
  </si>
  <si>
    <t>Companies classified into 4 archetypes (display only; v6 valuation uses best-lens for all):</t>
  </si>
  <si>
    <t>GM≥40%, RevGrowth≥30%, ROE&lt;8%.</t>
  </si>
  <si>
    <t>ROE≥12%, GM≥30%.</t>
  </si>
  <si>
    <t>P/B&lt;1.0 and positive earnings.</t>
  </si>
  <si>
    <t>Everything else.</t>
  </si>
  <si>
    <t>VALUATION LENSES</t>
  </si>
  <si>
    <t>Lens A: GM-adj P/S</t>
  </si>
  <si>
    <t>P/S ratio divided by Gross Margin. Lower = better. Favours high-margin businesses with cheap revenue.</t>
  </si>
  <si>
    <t>Lens B: ROE-adj P/B</t>
  </si>
  <si>
    <t>P/B ratio divided by (ROE / 10%). Lower = better. Favours capital-efficient businesses.</t>
  </si>
  <si>
    <t>Lens C: Growth-adj E/P</t>
  </si>
  <si>
    <t>(Avg recent NI / MarketCap) × (1 + rev_growth). Higher = better. Favours growing earners.</t>
  </si>
  <si>
    <t>Best-Lens Approach</t>
  </si>
  <si>
    <t>Each company gets credit for whichever lens makes it look cheapest. This prevents penalising companies with concentrated strengths.</t>
  </si>
  <si>
    <t>Research Sources</t>
  </si>
  <si>
    <t>SEC EDGAR, SEDAR+, official company websites, annual reports, proxy statements, 10-K filings</t>
  </si>
  <si>
    <t>Selection</t>
  </si>
  <si>
    <t>Top 150 of 499 by v6 score. No manual overrides.</t>
  </si>
  <si>
    <t>Score range in this shortlist</t>
  </si>
  <si>
    <t>72.6 – 96.5</t>
  </si>
  <si>
    <t>Coverage note</t>
  </si>
  <si>
    <t>498 of 499 GM/business descriptions retrieved. 148 of 150 thesis-level research items retrieved (2 minor gaps shown in Investment Thesis sheet).</t>
  </si>
  <si>
    <t>Note</t>
  </si>
  <si>
    <t>All monetary values in USD millions. Revenue/income periods are rolling LTM snapshots at quarterly intervals; LTD periods are annual.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</si>
</sst>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8" x14ac:knownFonts="1">
    <font>
      <sz val="11"/>
      <color theme="1"/>
      <name val="Calibri"/>
      <family val="2"/>
      <charset val="1"/>
    </font>
    <font>
      <b/>
      <sz val="16"/>
      <color rgb="FF1B474D"/>
      <name val="Calibri"/>
      <family val="2"/>
    </font>
    <font>
      <sz val="11"/>
      <color rgb="FF7A7974"/>
      <name val="Calibri"/>
      <family val="2"/>
    </font>
    <font>
      <b/>
      <sz val="12"/>
      <color rgb="FF1B474D"/>
      <name val="Calibri"/>
      <family val="2"/>
    </font>
    <font>
      <u/>
      <sz val="11"/>
      <color rgb="FF0000FF"/>
      <name val="Calibri"/>
      <family val="2"/>
    </font>
    <font>
      <b/>
      <sz val="11"/>
      <color rgb="FFFFFFFF"/>
      <name val="Calibri"/>
      <family val="2"/>
    </font>
    <font>
      <sz val="10"/>
      <name val="Calibri"/>
      <family val="2"/>
    </font>
    <font>
      <b/>
      <sz val="10"/>
      <name val="Calibri"/>
      <family val="2"/>
    </font>
  </fonts>
  <fills count="3">
    <fill>
      <patternFill patternType="none"/>
    </fill>
    <fill>
      <patternFill patternType="gray125"/>
    </fill>
    <fill>
      <patternFill patternType="solid">
        <fgColor rgb="FF1B474D"/>
        <bgColor rgb="FF003366"/>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164" fontId="6" fillId="0" borderId="0" xfId="0" applyNumberFormat="1" applyFont="1" applyAlignment="1">
      <alignment horizontal="right" vertical="center"/>
    </xf>
    <xf numFmtId="2" fontId="6" fillId="0" borderId="0" xfId="0" applyNumberFormat="1" applyFont="1" applyAlignment="1">
      <alignment horizontal="right" vertical="center"/>
    </xf>
    <xf numFmtId="165" fontId="6" fillId="0" borderId="0" xfId="0" applyNumberFormat="1" applyFont="1" applyAlignment="1">
      <alignment horizontal="right" vertical="center"/>
    </xf>
    <xf numFmtId="9" fontId="6" fillId="0" borderId="0" xfId="0" applyNumberFormat="1" applyFont="1" applyAlignment="1">
      <alignment horizontal="right" vertical="center"/>
    </xf>
    <xf numFmtId="166" fontId="6" fillId="0" borderId="0" xfId="0" applyNumberFormat="1" applyFont="1" applyAlignment="1">
      <alignment horizontal="right" vertical="center"/>
    </xf>
    <xf numFmtId="0" fontId="6" fillId="0" borderId="0" xfId="0" applyFont="1"/>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A7974"/>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74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USA_Canada_15m_1B_SmallCap_Value_Shortlist.xlsx" TargetMode="External"/><Relationship Id="rId2" Type="http://schemas.openxmlformats.org/officeDocument/2006/relationships/hyperlink" Target="USA_Canada_15m_1B_SmallCap_Value_Shortlist.xlsx" TargetMode="External"/><Relationship Id="rId1" Type="http://schemas.openxmlformats.org/officeDocument/2006/relationships/hyperlink" Target="USA_Canada_15m_1B_SmallCap_Value_Shortlist.xlsx" TargetMode="External"/><Relationship Id="rId5" Type="http://schemas.openxmlformats.org/officeDocument/2006/relationships/hyperlink" Target="USA_Canada_15m_1B_SmallCap_Value_Shortlist.xlsx" TargetMode="External"/><Relationship Id="rId4" Type="http://schemas.openxmlformats.org/officeDocument/2006/relationships/hyperlink" Target="USA_Canada_15m_1B_SmallCap_Value_Shortlist.xlsx"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investors.advansix.com/" TargetMode="External"/><Relationship Id="rId21" Type="http://schemas.openxmlformats.org/officeDocument/2006/relationships/hyperlink" Target="https://www.ameriservfinancial.com/" TargetMode="External"/><Relationship Id="rId42" Type="http://schemas.openxmlformats.org/officeDocument/2006/relationships/hyperlink" Target="https://www.integralife.com/" TargetMode="External"/><Relationship Id="rId63" Type="http://schemas.openxmlformats.org/officeDocument/2006/relationships/hyperlink" Target="https://www.electromed.com/" TargetMode="External"/><Relationship Id="rId84" Type="http://schemas.openxmlformats.org/officeDocument/2006/relationships/hyperlink" Target="https://phxtech.com/" TargetMode="External"/><Relationship Id="rId138" Type="http://schemas.openxmlformats.org/officeDocument/2006/relationships/hyperlink" Target="https://www.martinrea.com/" TargetMode="External"/><Relationship Id="rId16" Type="http://schemas.openxmlformats.org/officeDocument/2006/relationships/hyperlink" Target="https://www.peoplesbancorp.com/" TargetMode="External"/><Relationship Id="rId107" Type="http://schemas.openxmlformats.org/officeDocument/2006/relationships/hyperlink" Target="https://www.southernmichiganbank.com/" TargetMode="External"/><Relationship Id="rId11" Type="http://schemas.openxmlformats.org/officeDocument/2006/relationships/hyperlink" Target="https://acmeunited.com/" TargetMode="External"/><Relationship Id="rId32" Type="http://schemas.openxmlformats.org/officeDocument/2006/relationships/hyperlink" Target="https://www.madisonpacificproperties.com/" TargetMode="External"/><Relationship Id="rId37" Type="http://schemas.openxmlformats.org/officeDocument/2006/relationships/hyperlink" Target="https://www.oconeefinancial.com/" TargetMode="External"/><Relationship Id="rId53" Type="http://schemas.openxmlformats.org/officeDocument/2006/relationships/hyperlink" Target="https://www.smpcorp.com/" TargetMode="External"/><Relationship Id="rId58" Type="http://schemas.openxmlformats.org/officeDocument/2006/relationships/hyperlink" Target="https://www.evolutionpetroleum.com/" TargetMode="External"/><Relationship Id="rId74" Type="http://schemas.openxmlformats.org/officeDocument/2006/relationships/hyperlink" Target="https://coremt.com/" TargetMode="External"/><Relationship Id="rId79" Type="http://schemas.openxmlformats.org/officeDocument/2006/relationships/hyperlink" Target="https://www.universallogistics.com/" TargetMode="External"/><Relationship Id="rId102" Type="http://schemas.openxmlformats.org/officeDocument/2006/relationships/hyperlink" Target="https://www.johnsonoutdoors.com/" TargetMode="External"/><Relationship Id="rId123" Type="http://schemas.openxmlformats.org/officeDocument/2006/relationships/hyperlink" Target="https://www.truxtoncorp.com/" TargetMode="External"/><Relationship Id="rId128" Type="http://schemas.openxmlformats.org/officeDocument/2006/relationships/hyperlink" Target="https://www.buildabear.com/" TargetMode="External"/><Relationship Id="rId5" Type="http://schemas.openxmlformats.org/officeDocument/2006/relationships/hyperlink" Target="https://www.ovcb.com/" TargetMode="External"/><Relationship Id="rId90" Type="http://schemas.openxmlformats.org/officeDocument/2006/relationships/hyperlink" Target="https://marineproductscorp.com/" TargetMode="External"/><Relationship Id="rId95" Type="http://schemas.openxmlformats.org/officeDocument/2006/relationships/hyperlink" Target="https://vecima.com/" TargetMode="External"/><Relationship Id="rId22" Type="http://schemas.openxmlformats.org/officeDocument/2006/relationships/hyperlink" Target="https://ir.amphastar.com/" TargetMode="External"/><Relationship Id="rId27" Type="http://schemas.openxmlformats.org/officeDocument/2006/relationships/hyperlink" Target="https://www.fcco.com/" TargetMode="External"/><Relationship Id="rId43" Type="http://schemas.openxmlformats.org/officeDocument/2006/relationships/hyperlink" Target="https://ir.tripadvisor.com/" TargetMode="External"/><Relationship Id="rId48" Type="http://schemas.openxmlformats.org/officeDocument/2006/relationships/hyperlink" Target="https://www.namsys.com/" TargetMode="External"/><Relationship Id="rId64" Type="http://schemas.openxmlformats.org/officeDocument/2006/relationships/hyperlink" Target="https://wlfc.com/" TargetMode="External"/><Relationship Id="rId69" Type="http://schemas.openxmlformats.org/officeDocument/2006/relationships/hyperlink" Target="https://www.acadiantimber.com/" TargetMode="External"/><Relationship Id="rId113" Type="http://schemas.openxmlformats.org/officeDocument/2006/relationships/hyperlink" Target="https://www.rcihospitality.com/" TargetMode="External"/><Relationship Id="rId118" Type="http://schemas.openxmlformats.org/officeDocument/2006/relationships/hyperlink" Target="https://www.amalgamatedbank.com/" TargetMode="External"/><Relationship Id="rId134" Type="http://schemas.openxmlformats.org/officeDocument/2006/relationships/hyperlink" Target="https://www.virtus.com/" TargetMode="External"/><Relationship Id="rId139" Type="http://schemas.openxmlformats.org/officeDocument/2006/relationships/hyperlink" Target="https://www.wtbfinancial.com/" TargetMode="External"/><Relationship Id="rId80" Type="http://schemas.openxmlformats.org/officeDocument/2006/relationships/hyperlink" Target="https://investor.citizensbank.com/about-us/investor-relations.aspx" TargetMode="External"/><Relationship Id="rId85" Type="http://schemas.openxmlformats.org/officeDocument/2006/relationships/hyperlink" Target="https://www.oildri.com/" TargetMode="External"/><Relationship Id="rId12" Type="http://schemas.openxmlformats.org/officeDocument/2006/relationships/hyperlink" Target="https://www.sierrabancorp.com/" TargetMode="External"/><Relationship Id="rId17" Type="http://schemas.openxmlformats.org/officeDocument/2006/relationships/hyperlink" Target="https://www.acresreit.com/" TargetMode="External"/><Relationship Id="rId33" Type="http://schemas.openxmlformats.org/officeDocument/2006/relationships/hyperlink" Target="https://www.qnbcorp.com/" TargetMode="External"/><Relationship Id="rId38" Type="http://schemas.openxmlformats.org/officeDocument/2006/relationships/hyperlink" Target="https://www.lendingtree.com/" TargetMode="External"/><Relationship Id="rId59" Type="http://schemas.openxmlformats.org/officeDocument/2006/relationships/hyperlink" Target="https://www.barings.com/" TargetMode="External"/><Relationship Id="rId103" Type="http://schemas.openxmlformats.org/officeDocument/2006/relationships/hyperlink" Target="https://www.pizzapizza.ca/" TargetMode="External"/><Relationship Id="rId108" Type="http://schemas.openxmlformats.org/officeDocument/2006/relationships/hyperlink" Target="https://www.gamehost.ca/" TargetMode="External"/><Relationship Id="rId124" Type="http://schemas.openxmlformats.org/officeDocument/2006/relationships/hyperlink" Target="https://bonterraenergy.com/" TargetMode="External"/><Relationship Id="rId129" Type="http://schemas.openxmlformats.org/officeDocument/2006/relationships/hyperlink" Target="https://www.genesco.com/" TargetMode="External"/><Relationship Id="rId54" Type="http://schemas.openxmlformats.org/officeDocument/2006/relationships/hyperlink" Target="https://www.insperity.com/" TargetMode="External"/><Relationship Id="rId70" Type="http://schemas.openxmlformats.org/officeDocument/2006/relationships/hyperlink" Target="https://investors.designerbrands.com/" TargetMode="External"/><Relationship Id="rId75" Type="http://schemas.openxmlformats.org/officeDocument/2006/relationships/hyperlink" Target="https://www.ubcp.com/" TargetMode="External"/><Relationship Id="rId91" Type="http://schemas.openxmlformats.org/officeDocument/2006/relationships/hyperlink" Target="https://www.andrewpeller.com/" TargetMode="External"/><Relationship Id="rId96" Type="http://schemas.openxmlformats.org/officeDocument/2006/relationships/hyperlink" Target="https://www.kronosww.com/" TargetMode="External"/><Relationship Id="rId1" Type="http://schemas.openxmlformats.org/officeDocument/2006/relationships/hyperlink" Target="https://ir.fm.bank/" TargetMode="External"/><Relationship Id="rId6" Type="http://schemas.openxmlformats.org/officeDocument/2006/relationships/hyperlink" Target="https://firstbusiness.bank/" TargetMode="External"/><Relationship Id="rId23" Type="http://schemas.openxmlformats.org/officeDocument/2006/relationships/hyperlink" Target="https://firstnorthwest.com/" TargetMode="External"/><Relationship Id="rId28" Type="http://schemas.openxmlformats.org/officeDocument/2006/relationships/hyperlink" Target="https://www.westbank.com/" TargetMode="External"/><Relationship Id="rId49" Type="http://schemas.openxmlformats.org/officeDocument/2006/relationships/hyperlink" Target="https://www.shoecarnival.com/" TargetMode="External"/><Relationship Id="rId114" Type="http://schemas.openxmlformats.org/officeDocument/2006/relationships/hyperlink" Target="https://www.guardiancapital.com/" TargetMode="External"/><Relationship Id="rId119" Type="http://schemas.openxmlformats.org/officeDocument/2006/relationships/hyperlink" Target="https://www.medallion.com/" TargetMode="External"/><Relationship Id="rId44" Type="http://schemas.openxmlformats.org/officeDocument/2006/relationships/hyperlink" Target="https://www.immersion.com/" TargetMode="External"/><Relationship Id="rId60" Type="http://schemas.openxmlformats.org/officeDocument/2006/relationships/hyperlink" Target="https://ftgcorp.com/" TargetMode="External"/><Relationship Id="rId65" Type="http://schemas.openxmlformats.org/officeDocument/2006/relationships/hyperlink" Target="https://www.forrester.com/" TargetMode="External"/><Relationship Id="rId81" Type="http://schemas.openxmlformats.org/officeDocument/2006/relationships/hyperlink" Target="https://www.cipherpharma.com/" TargetMode="External"/><Relationship Id="rId86" Type="http://schemas.openxmlformats.org/officeDocument/2006/relationships/hyperlink" Target="https://www.vitreousglass.ca/" TargetMode="External"/><Relationship Id="rId130" Type="http://schemas.openxmlformats.org/officeDocument/2006/relationships/hyperlink" Target="https://www.amnhealthcare.com/" TargetMode="External"/><Relationship Id="rId135" Type="http://schemas.openxmlformats.org/officeDocument/2006/relationships/hyperlink" Target="https://www.titanmachinery.com/" TargetMode="External"/><Relationship Id="rId13" Type="http://schemas.openxmlformats.org/officeDocument/2006/relationships/hyperlink" Target="https://investor.first-online.bank/" TargetMode="External"/><Relationship Id="rId18" Type="http://schemas.openxmlformats.org/officeDocument/2006/relationships/hyperlink" Target="https://investor.cffc.com/overview/default.aspx" TargetMode="External"/><Relationship Id="rId39" Type="http://schemas.openxmlformats.org/officeDocument/2006/relationships/hyperlink" Target="https://www.oxfordinc.com/" TargetMode="External"/><Relationship Id="rId109" Type="http://schemas.openxmlformats.org/officeDocument/2006/relationships/hyperlink" Target="https://www.marinemax.com/" TargetMode="External"/><Relationship Id="rId34" Type="http://schemas.openxmlformats.org/officeDocument/2006/relationships/hyperlink" Target="https://www.cmgl.ca/" TargetMode="External"/><Relationship Id="rId50" Type="http://schemas.openxmlformats.org/officeDocument/2006/relationships/hyperlink" Target="https://www.superiorgroupofcompanies.com/" TargetMode="External"/><Relationship Id="rId55" Type="http://schemas.openxmlformats.org/officeDocument/2006/relationships/hyperlink" Target="https://www.algonet.com/" TargetMode="External"/><Relationship Id="rId76" Type="http://schemas.openxmlformats.org/officeDocument/2006/relationships/hyperlink" Target="https://www.harfordbank.com/" TargetMode="External"/><Relationship Id="rId97" Type="http://schemas.openxmlformats.org/officeDocument/2006/relationships/hyperlink" Target="https://spectra-systems.com/" TargetMode="External"/><Relationship Id="rId104" Type="http://schemas.openxmlformats.org/officeDocument/2006/relationships/hyperlink" Target="https://www.giii.com/" TargetMode="External"/><Relationship Id="rId120" Type="http://schemas.openxmlformats.org/officeDocument/2006/relationships/hyperlink" Target="https://www.apei.com/" TargetMode="External"/><Relationship Id="rId125" Type="http://schemas.openxmlformats.org/officeDocument/2006/relationships/hyperlink" Target="https://www.highlinerfoods.com/" TargetMode="External"/><Relationship Id="rId7" Type="http://schemas.openxmlformats.org/officeDocument/2006/relationships/hyperlink" Target="https://www.mercbank.com/" TargetMode="External"/><Relationship Id="rId71" Type="http://schemas.openxmlformats.org/officeDocument/2006/relationships/hyperlink" Target="https://www.apog.com/" TargetMode="External"/><Relationship Id="rId92" Type="http://schemas.openxmlformats.org/officeDocument/2006/relationships/hyperlink" Target="https://www.unitybank.com/" TargetMode="External"/><Relationship Id="rId2" Type="http://schemas.openxmlformats.org/officeDocument/2006/relationships/hyperlink" Target="https://www.necb.com/" TargetMode="External"/><Relationship Id="rId29" Type="http://schemas.openxmlformats.org/officeDocument/2006/relationships/hyperlink" Target="https://www.tcbk.com/about/investor-relations/sec-filings" TargetMode="External"/><Relationship Id="rId24" Type="http://schemas.openxmlformats.org/officeDocument/2006/relationships/hyperlink" Target="https://www.healthstream.com/" TargetMode="External"/><Relationship Id="rId40" Type="http://schemas.openxmlformats.org/officeDocument/2006/relationships/hyperlink" Target="https://investor.cars.com/" TargetMode="External"/><Relationship Id="rId45" Type="http://schemas.openxmlformats.org/officeDocument/2006/relationships/hyperlink" Target="https://www.hifs.com/" TargetMode="External"/><Relationship Id="rId66" Type="http://schemas.openxmlformats.org/officeDocument/2006/relationships/hyperlink" Target="https://www.scripps.com/" TargetMode="External"/><Relationship Id="rId87" Type="http://schemas.openxmlformats.org/officeDocument/2006/relationships/hyperlink" Target="https://nacg.ca/" TargetMode="External"/><Relationship Id="rId110" Type="http://schemas.openxmlformats.org/officeDocument/2006/relationships/hyperlink" Target="https://www.americanwoodmark.com/" TargetMode="External"/><Relationship Id="rId115" Type="http://schemas.openxmlformats.org/officeDocument/2006/relationships/hyperlink" Target="https://www.botj.com/" TargetMode="External"/><Relationship Id="rId131" Type="http://schemas.openxmlformats.org/officeDocument/2006/relationships/hyperlink" Target="https://www.middlesexwater.com/" TargetMode="External"/><Relationship Id="rId136" Type="http://schemas.openxmlformats.org/officeDocument/2006/relationships/hyperlink" Target="https://dynacor.com/en/" TargetMode="External"/><Relationship Id="rId61" Type="http://schemas.openxmlformats.org/officeDocument/2006/relationships/hyperlink" Target="https://www.biosyent.com/" TargetMode="External"/><Relationship Id="rId82" Type="http://schemas.openxmlformats.org/officeDocument/2006/relationships/hyperlink" Target="https://wherefoodcomesfrom.com/" TargetMode="External"/><Relationship Id="rId19" Type="http://schemas.openxmlformats.org/officeDocument/2006/relationships/hyperlink" Target="https://investor.canadagoose.com/" TargetMode="External"/><Relationship Id="rId14" Type="http://schemas.openxmlformats.org/officeDocument/2006/relationships/hyperlink" Target="https://www.olympiafinancial.com/" TargetMode="External"/><Relationship Id="rId30" Type="http://schemas.openxmlformats.org/officeDocument/2006/relationships/hyperlink" Target="https://www.melcor.ca/" TargetMode="External"/><Relationship Id="rId35" Type="http://schemas.openxmlformats.org/officeDocument/2006/relationships/hyperlink" Target="https://www.primeenergy.com/" TargetMode="External"/><Relationship Id="rId56" Type="http://schemas.openxmlformats.org/officeDocument/2006/relationships/hyperlink" Target="https://www.supremex.com/" TargetMode="External"/><Relationship Id="rId77" Type="http://schemas.openxmlformats.org/officeDocument/2006/relationships/hyperlink" Target="https://www.consumers.bank/" TargetMode="External"/><Relationship Id="rId100" Type="http://schemas.openxmlformats.org/officeDocument/2006/relationships/hyperlink" Target="https://www.richardsgroup.com/" TargetMode="External"/><Relationship Id="rId105" Type="http://schemas.openxmlformats.org/officeDocument/2006/relationships/hyperlink" Target="https://mccoyglobal.com/" TargetMode="External"/><Relationship Id="rId126" Type="http://schemas.openxmlformats.org/officeDocument/2006/relationships/hyperlink" Target="https://www.pason.com/" TargetMode="External"/><Relationship Id="rId8" Type="http://schemas.openxmlformats.org/officeDocument/2006/relationships/hyperlink" Target="https://www.mtyfoodgroup.com/" TargetMode="External"/><Relationship Id="rId51" Type="http://schemas.openxmlformats.org/officeDocument/2006/relationships/hyperlink" Target="https://www.amcon.com/" TargetMode="External"/><Relationship Id="rId72" Type="http://schemas.openxmlformats.org/officeDocument/2006/relationships/hyperlink" Target="https://www.movadogroup.com/" TargetMode="External"/><Relationship Id="rId93" Type="http://schemas.openxmlformats.org/officeDocument/2006/relationships/hyperlink" Target="https://www.dimeco.com/" TargetMode="External"/><Relationship Id="rId98" Type="http://schemas.openxmlformats.org/officeDocument/2006/relationships/hyperlink" Target="https://www.winnebagoind.com/" TargetMode="External"/><Relationship Id="rId121" Type="http://schemas.openxmlformats.org/officeDocument/2006/relationships/hyperlink" Target="https://www.citizensbanking.com/" TargetMode="External"/><Relationship Id="rId3" Type="http://schemas.openxmlformats.org/officeDocument/2006/relationships/hyperlink" Target="https://www.shutterstock.com/" TargetMode="External"/><Relationship Id="rId25" Type="http://schemas.openxmlformats.org/officeDocument/2006/relationships/hyperlink" Target="https://www.otcmarkets.com/" TargetMode="External"/><Relationship Id="rId46" Type="http://schemas.openxmlformats.org/officeDocument/2006/relationships/hyperlink" Target="https://www.gouverneurbank.com/" TargetMode="External"/><Relationship Id="rId67" Type="http://schemas.openxmlformats.org/officeDocument/2006/relationships/hyperlink" Target="https://www.regionalmanagement.com/" TargetMode="External"/><Relationship Id="rId116" Type="http://schemas.openxmlformats.org/officeDocument/2006/relationships/hyperlink" Target="https://www.securityfederalbank.com/" TargetMode="External"/><Relationship Id="rId137" Type="http://schemas.openxmlformats.org/officeDocument/2006/relationships/hyperlink" Target="https://www.daveandbusters.com/" TargetMode="External"/><Relationship Id="rId20" Type="http://schemas.openxmlformats.org/officeDocument/2006/relationships/hyperlink" Target="https://investors.ccbg.com/" TargetMode="External"/><Relationship Id="rId41" Type="http://schemas.openxmlformats.org/officeDocument/2006/relationships/hyperlink" Target="https://www.ssbi.com/" TargetMode="External"/><Relationship Id="rId62" Type="http://schemas.openxmlformats.org/officeDocument/2006/relationships/hyperlink" Target="https://www.crackerbarrel.com/" TargetMode="External"/><Relationship Id="rId83" Type="http://schemas.openxmlformats.org/officeDocument/2006/relationships/hyperlink" Target="https://www.preferredbank.com/" TargetMode="External"/><Relationship Id="rId88" Type="http://schemas.openxmlformats.org/officeDocument/2006/relationships/hyperlink" Target="https://www.cashmerevalleybank.com/" TargetMode="External"/><Relationship Id="rId111" Type="http://schemas.openxmlformats.org/officeDocument/2006/relationships/hyperlink" Target="https://www.parkebank.com/" TargetMode="External"/><Relationship Id="rId132" Type="http://schemas.openxmlformats.org/officeDocument/2006/relationships/hyperlink" Target="https://www.egain.com/" TargetMode="External"/><Relationship Id="rId15" Type="http://schemas.openxmlformats.org/officeDocument/2006/relationships/hyperlink" Target="https://www.safetyinsurance.com/" TargetMode="External"/><Relationship Id="rId36" Type="http://schemas.openxmlformats.org/officeDocument/2006/relationships/hyperlink" Target="https://www.hammondmfg.com/" TargetMode="External"/><Relationship Id="rId57" Type="http://schemas.openxmlformats.org/officeDocument/2006/relationships/hyperlink" Target="https://www.crowncrafts.com/" TargetMode="External"/><Relationship Id="rId106" Type="http://schemas.openxmlformats.org/officeDocument/2006/relationships/hyperlink" Target="https://www.escaladeinc.com/" TargetMode="External"/><Relationship Id="rId127" Type="http://schemas.openxmlformats.org/officeDocument/2006/relationships/hyperlink" Target="https://www.thefirst.com/" TargetMode="External"/><Relationship Id="rId10" Type="http://schemas.openxmlformats.org/officeDocument/2006/relationships/hyperlink" Target="https://www.tbogc.com/" TargetMode="External"/><Relationship Id="rId31" Type="http://schemas.openxmlformats.org/officeDocument/2006/relationships/hyperlink" Target="https://www.camdennational.com/" TargetMode="External"/><Relationship Id="rId52" Type="http://schemas.openxmlformats.org/officeDocument/2006/relationships/hyperlink" Target="https://www.united-guardian.com/" TargetMode="External"/><Relationship Id="rId73" Type="http://schemas.openxmlformats.org/officeDocument/2006/relationships/hyperlink" Target="https://www.campingworld.com/" TargetMode="External"/><Relationship Id="rId78" Type="http://schemas.openxmlformats.org/officeDocument/2006/relationships/hyperlink" Target="https://epsilonenergy.com/" TargetMode="External"/><Relationship Id="rId94" Type="http://schemas.openxmlformats.org/officeDocument/2006/relationships/hyperlink" Target="https://jdbank.com/" TargetMode="External"/><Relationship Id="rId99" Type="http://schemas.openxmlformats.org/officeDocument/2006/relationships/hyperlink" Target="https://cititrends.com/" TargetMode="External"/><Relationship Id="rId101" Type="http://schemas.openxmlformats.org/officeDocument/2006/relationships/hyperlink" Target="https://www.valueline.com/" TargetMode="External"/><Relationship Id="rId122" Type="http://schemas.openxmlformats.org/officeDocument/2006/relationships/hyperlink" Target="https://www.pinnbank.com/" TargetMode="External"/><Relationship Id="rId4" Type="http://schemas.openxmlformats.org/officeDocument/2006/relationships/hyperlink" Target="https://www.crai.com/" TargetMode="External"/><Relationship Id="rId9" Type="http://schemas.openxmlformats.org/officeDocument/2006/relationships/hyperlink" Target="https://www.medifastinc.com/" TargetMode="External"/><Relationship Id="rId26" Type="http://schemas.openxmlformats.org/officeDocument/2006/relationships/hyperlink" Target="https://www.simulations-plus.com/" TargetMode="External"/><Relationship Id="rId47" Type="http://schemas.openxmlformats.org/officeDocument/2006/relationships/hyperlink" Target="https://www.upboundgroup.com/" TargetMode="External"/><Relationship Id="rId68" Type="http://schemas.openxmlformats.org/officeDocument/2006/relationships/hyperlink" Target="https://www.greendot.com/" TargetMode="External"/><Relationship Id="rId89" Type="http://schemas.openxmlformats.org/officeDocument/2006/relationships/hyperlink" Target="https://www.elpolloloco.com/" TargetMode="External"/><Relationship Id="rId112" Type="http://schemas.openxmlformats.org/officeDocument/2006/relationships/hyperlink" Target="https://www.angi.com/" TargetMode="External"/><Relationship Id="rId133" Type="http://schemas.openxmlformats.org/officeDocument/2006/relationships/hyperlink" Target="https://ir.douglasdynamic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162"/>
  <sheetViews>
    <sheetView tabSelected="1" zoomScaleNormal="100" workbookViewId="0">
      <pane xSplit="2" ySplit="12" topLeftCell="D13" activePane="bottomRight" state="frozen"/>
      <selection pane="topRight" activeCell="C1" sqref="C1"/>
      <selection pane="bottomLeft" activeCell="A13" sqref="A13"/>
      <selection pane="bottomRight" activeCell="P120" sqref="P120"/>
    </sheetView>
  </sheetViews>
  <sheetFormatPr baseColWidth="10" defaultColWidth="8.6640625" defaultRowHeight="15" customHeight="1" x14ac:dyDescent="0.2"/>
  <cols>
    <col min="1" max="1" width="5" customWidth="1"/>
    <col min="2" max="2" width="36" customWidth="1"/>
    <col min="3" max="3" width="14" customWidth="1"/>
    <col min="4" max="4" width="16" customWidth="1"/>
    <col min="5" max="5" width="9" customWidth="1"/>
    <col min="6" max="6" width="55" customWidth="1"/>
    <col min="7" max="7" width="22" customWidth="1"/>
    <col min="8" max="8" width="13" customWidth="1"/>
    <col min="9" max="9" width="14" customWidth="1"/>
    <col min="10" max="10" width="11" customWidth="1"/>
    <col min="11" max="11" width="13" customWidth="1"/>
    <col min="12" max="12" width="12" customWidth="1"/>
    <col min="13" max="13" width="11" customWidth="1"/>
    <col min="14" max="15" width="10" customWidth="1"/>
    <col min="16" max="16" width="13" customWidth="1"/>
    <col min="17" max="17" width="11" customWidth="1"/>
  </cols>
  <sheetData>
    <row r="2" spans="1:17" ht="21" x14ac:dyDescent="0.25">
      <c r="B2" s="1" t="s">
        <v>0</v>
      </c>
    </row>
    <row r="3" spans="1:17" x14ac:dyDescent="0.2">
      <c r="B3" s="2" t="s">
        <v>1</v>
      </c>
    </row>
    <row r="5" spans="1:17" ht="16" x14ac:dyDescent="0.2">
      <c r="B5" s="3" t="s">
        <v>2</v>
      </c>
    </row>
    <row r="6" spans="1:17" x14ac:dyDescent="0.2">
      <c r="B6" s="4" t="s">
        <v>3</v>
      </c>
    </row>
    <row r="7" spans="1:17" x14ac:dyDescent="0.2">
      <c r="B7" s="4" t="s">
        <v>4</v>
      </c>
    </row>
    <row r="8" spans="1:17" x14ac:dyDescent="0.2">
      <c r="B8" s="4" t="s">
        <v>5</v>
      </c>
    </row>
    <row r="9" spans="1:17" x14ac:dyDescent="0.2">
      <c r="B9" s="4" t="s">
        <v>6</v>
      </c>
    </row>
    <row r="10" spans="1:17" x14ac:dyDescent="0.2">
      <c r="B10" s="4" t="s">
        <v>7</v>
      </c>
    </row>
    <row r="12" spans="1:17" ht="30" customHeight="1" x14ac:dyDescent="0.2">
      <c r="A12" s="5" t="s">
        <v>8</v>
      </c>
      <c r="B12" s="5" t="s">
        <v>9</v>
      </c>
      <c r="C12" s="5" t="s">
        <v>10</v>
      </c>
      <c r="D12" s="5" t="s">
        <v>11</v>
      </c>
      <c r="E12" s="5" t="s">
        <v>12</v>
      </c>
      <c r="F12" s="5" t="s">
        <v>13</v>
      </c>
      <c r="G12" s="5" t="s">
        <v>14</v>
      </c>
      <c r="H12" s="5" t="s">
        <v>15</v>
      </c>
      <c r="I12" s="5" t="s">
        <v>16</v>
      </c>
      <c r="J12" s="5" t="s">
        <v>17</v>
      </c>
      <c r="K12" s="5" t="s">
        <v>18</v>
      </c>
      <c r="L12" s="5" t="s">
        <v>19</v>
      </c>
      <c r="M12" s="5" t="s">
        <v>20</v>
      </c>
      <c r="N12" s="5" t="s">
        <v>21</v>
      </c>
      <c r="O12" s="5" t="s">
        <v>22</v>
      </c>
      <c r="P12" s="5" t="s">
        <v>23</v>
      </c>
      <c r="Q12" s="5" t="s">
        <v>24</v>
      </c>
    </row>
    <row r="13" spans="1:17" ht="45" x14ac:dyDescent="0.2">
      <c r="A13" s="6">
        <v>1</v>
      </c>
      <c r="B13" s="7" t="s">
        <v>25</v>
      </c>
      <c r="C13" s="6" t="s">
        <v>26</v>
      </c>
      <c r="D13" s="6" t="s">
        <v>27</v>
      </c>
      <c r="E13" s="6">
        <v>1916</v>
      </c>
      <c r="F13" s="7" t="s">
        <v>28</v>
      </c>
      <c r="G13" s="6" t="s">
        <v>29</v>
      </c>
      <c r="H13" s="8">
        <v>781.7</v>
      </c>
      <c r="I13" s="8">
        <v>645.5</v>
      </c>
      <c r="J13" s="9">
        <v>1.2109992254066599</v>
      </c>
      <c r="K13" s="10">
        <v>0.13381099922540701</v>
      </c>
      <c r="L13" s="10">
        <v>1.2964774951076301</v>
      </c>
      <c r="M13" s="10">
        <v>-0.119647355163728</v>
      </c>
      <c r="N13" s="11">
        <v>1</v>
      </c>
      <c r="O13" s="11">
        <v>1</v>
      </c>
      <c r="P13" s="10">
        <v>0.85</v>
      </c>
      <c r="Q13" s="12">
        <v>96.456941253106194</v>
      </c>
    </row>
    <row r="14" spans="1:17" ht="30" x14ac:dyDescent="0.2">
      <c r="A14" s="6">
        <v>2</v>
      </c>
      <c r="B14" s="7" t="s">
        <v>30</v>
      </c>
      <c r="C14" s="6" t="s">
        <v>31</v>
      </c>
      <c r="D14" s="6" t="s">
        <v>27</v>
      </c>
      <c r="E14" s="6">
        <v>1872</v>
      </c>
      <c r="F14" s="7" t="s">
        <v>32</v>
      </c>
      <c r="G14" s="6" t="s">
        <v>33</v>
      </c>
      <c r="H14" s="8">
        <v>269.10000000000002</v>
      </c>
      <c r="I14" s="8">
        <v>351.7</v>
      </c>
      <c r="J14" s="9">
        <v>0.76514074495308504</v>
      </c>
      <c r="K14" s="10">
        <v>0.11558146147284599</v>
      </c>
      <c r="L14" s="10">
        <v>6.9469696969696999</v>
      </c>
      <c r="M14" s="10">
        <v>-0.16969696969697001</v>
      </c>
      <c r="N14" s="11">
        <v>0.9</v>
      </c>
      <c r="O14" s="11">
        <v>1</v>
      </c>
      <c r="P14" s="10">
        <v>0.59199999999999997</v>
      </c>
      <c r="Q14" s="12">
        <v>95.170588235294105</v>
      </c>
    </row>
    <row r="15" spans="1:17" ht="30" x14ac:dyDescent="0.2">
      <c r="A15" s="6">
        <v>3</v>
      </c>
      <c r="B15" s="7" t="s">
        <v>34</v>
      </c>
      <c r="C15" s="6" t="s">
        <v>35</v>
      </c>
      <c r="D15" s="6" t="s">
        <v>27</v>
      </c>
      <c r="E15" s="6">
        <v>2003</v>
      </c>
      <c r="F15" s="7" t="s">
        <v>36</v>
      </c>
      <c r="G15" s="6" t="s">
        <v>33</v>
      </c>
      <c r="H15" s="8">
        <v>577.29999999999995</v>
      </c>
      <c r="I15" s="8">
        <v>581</v>
      </c>
      <c r="J15" s="9">
        <v>0.99363166953528403</v>
      </c>
      <c r="K15" s="10">
        <v>0.115232358003442</v>
      </c>
      <c r="L15" s="10">
        <v>1.00262998179243</v>
      </c>
      <c r="M15" s="10">
        <v>1.1142061281337001E-2</v>
      </c>
      <c r="N15" s="11">
        <v>1</v>
      </c>
      <c r="O15" s="11">
        <v>1</v>
      </c>
      <c r="P15" s="10">
        <v>0.61399999999999999</v>
      </c>
      <c r="Q15" s="12">
        <v>94.722916959857699</v>
      </c>
    </row>
    <row r="16" spans="1:17" ht="30" x14ac:dyDescent="0.2">
      <c r="A16" s="6">
        <v>4</v>
      </c>
      <c r="B16" s="7" t="s">
        <v>37</v>
      </c>
      <c r="C16" s="6" t="s">
        <v>38</v>
      </c>
      <c r="D16" s="6" t="s">
        <v>27</v>
      </c>
      <c r="E16" s="6">
        <v>1965</v>
      </c>
      <c r="F16" s="7" t="s">
        <v>39</v>
      </c>
      <c r="G16" s="6" t="s">
        <v>29</v>
      </c>
      <c r="H16" s="8">
        <v>1020</v>
      </c>
      <c r="I16" s="8">
        <v>213.6</v>
      </c>
      <c r="J16" s="9">
        <v>4.7752808988764102</v>
      </c>
      <c r="K16" s="10">
        <v>0.21488764044943801</v>
      </c>
      <c r="L16" s="10">
        <v>1.314039408867</v>
      </c>
      <c r="M16" s="10">
        <v>-0.21976744186046501</v>
      </c>
      <c r="N16" s="11">
        <v>1</v>
      </c>
      <c r="O16" s="11">
        <v>1</v>
      </c>
      <c r="P16" s="10">
        <v>0.95</v>
      </c>
      <c r="Q16" s="12">
        <v>93.9064187766961</v>
      </c>
    </row>
    <row r="17" spans="1:17" ht="30" x14ac:dyDescent="0.2">
      <c r="A17" s="6">
        <v>5</v>
      </c>
      <c r="B17" s="7" t="s">
        <v>40</v>
      </c>
      <c r="C17" s="6" t="s">
        <v>41</v>
      </c>
      <c r="D17" s="6" t="s">
        <v>27</v>
      </c>
      <c r="E17" s="6">
        <v>1990</v>
      </c>
      <c r="F17" s="7" t="s">
        <v>42</v>
      </c>
      <c r="G17" s="6" t="s">
        <v>29</v>
      </c>
      <c r="H17" s="8">
        <v>264.3</v>
      </c>
      <c r="I17" s="8">
        <v>198.3</v>
      </c>
      <c r="J17" s="9">
        <v>1.3328290468986399</v>
      </c>
      <c r="K17" s="10">
        <v>0.12922339889057</v>
      </c>
      <c r="L17" s="10">
        <v>1.27887323943662</v>
      </c>
      <c r="M17" s="10">
        <v>2.5990099009900899E-2</v>
      </c>
      <c r="N17" s="11">
        <v>1</v>
      </c>
      <c r="O17" s="11">
        <v>1</v>
      </c>
      <c r="P17" s="10">
        <v>0.85</v>
      </c>
      <c r="Q17" s="12">
        <v>93.674874804502394</v>
      </c>
    </row>
    <row r="18" spans="1:17" ht="30" x14ac:dyDescent="0.2">
      <c r="A18" s="6">
        <v>6</v>
      </c>
      <c r="B18" s="7" t="s">
        <v>43</v>
      </c>
      <c r="C18" s="6" t="s">
        <v>44</v>
      </c>
      <c r="D18" s="6" t="s">
        <v>27</v>
      </c>
      <c r="E18" s="6">
        <v>1905</v>
      </c>
      <c r="F18" s="7" t="s">
        <v>45</v>
      </c>
      <c r="G18" s="6" t="s">
        <v>46</v>
      </c>
      <c r="H18" s="8">
        <v>439.6</v>
      </c>
      <c r="I18" s="8">
        <v>371.6</v>
      </c>
      <c r="J18" s="9">
        <v>1.1829924650161501</v>
      </c>
      <c r="K18" s="10">
        <v>0.115984930032293</v>
      </c>
      <c r="L18" s="10">
        <v>1.2922636103151901</v>
      </c>
      <c r="M18" s="10">
        <v>-4.7841306884480801E-2</v>
      </c>
      <c r="N18" s="11">
        <v>1</v>
      </c>
      <c r="O18" s="11">
        <v>1</v>
      </c>
      <c r="P18" s="10">
        <v>0.85</v>
      </c>
      <c r="Q18" s="12">
        <v>92.522248883065799</v>
      </c>
    </row>
    <row r="19" spans="1:17" ht="30" x14ac:dyDescent="0.2">
      <c r="A19" s="6">
        <v>7</v>
      </c>
      <c r="B19" s="7" t="s">
        <v>47</v>
      </c>
      <c r="C19" s="6" t="s">
        <v>48</v>
      </c>
      <c r="D19" s="6" t="s">
        <v>27</v>
      </c>
      <c r="E19" s="6">
        <v>1997</v>
      </c>
      <c r="F19" s="7" t="s">
        <v>49</v>
      </c>
      <c r="G19" s="6" t="s">
        <v>46</v>
      </c>
      <c r="H19" s="8">
        <v>865</v>
      </c>
      <c r="I19" s="8">
        <v>724.9</v>
      </c>
      <c r="J19" s="9">
        <v>1.1932680369706199</v>
      </c>
      <c r="K19" s="10">
        <v>0.107497585873914</v>
      </c>
      <c r="L19" s="10">
        <v>0.97107438016528902</v>
      </c>
      <c r="M19" s="10">
        <v>-6.1349693251534602E-3</v>
      </c>
      <c r="N19" s="11">
        <v>1</v>
      </c>
      <c r="O19" s="11">
        <v>1</v>
      </c>
      <c r="P19" s="10">
        <v>0.85</v>
      </c>
      <c r="Q19" s="12">
        <v>92.171159585821201</v>
      </c>
    </row>
    <row r="20" spans="1:17" ht="30" x14ac:dyDescent="0.2">
      <c r="A20" s="6">
        <v>8</v>
      </c>
      <c r="B20" s="7" t="s">
        <v>50</v>
      </c>
      <c r="C20" s="6" t="s">
        <v>51</v>
      </c>
      <c r="D20" s="6" t="s">
        <v>52</v>
      </c>
      <c r="E20" s="6">
        <v>1979</v>
      </c>
      <c r="F20" s="7" t="s">
        <v>53</v>
      </c>
      <c r="G20" s="6" t="s">
        <v>46</v>
      </c>
      <c r="H20" s="8">
        <v>655.7</v>
      </c>
      <c r="I20" s="8">
        <v>613.4</v>
      </c>
      <c r="J20" s="9">
        <v>1.06895989566352</v>
      </c>
      <c r="K20" s="10">
        <v>9.5573850668405597E-2</v>
      </c>
      <c r="L20" s="10">
        <v>4.9908579465541498</v>
      </c>
      <c r="M20" s="10">
        <v>0.15577889447236201</v>
      </c>
      <c r="N20" s="11">
        <v>0.9</v>
      </c>
      <c r="O20" s="11">
        <v>1</v>
      </c>
      <c r="P20" s="10">
        <v>0.64</v>
      </c>
      <c r="Q20" s="12">
        <v>91.614614740368495</v>
      </c>
    </row>
    <row r="21" spans="1:17" ht="45" x14ac:dyDescent="0.2">
      <c r="A21" s="6">
        <v>9</v>
      </c>
      <c r="B21" s="7" t="s">
        <v>54</v>
      </c>
      <c r="C21" s="6" t="s">
        <v>55</v>
      </c>
      <c r="D21" s="6" t="s">
        <v>27</v>
      </c>
      <c r="E21" s="6">
        <v>1981</v>
      </c>
      <c r="F21" s="7" t="s">
        <v>56</v>
      </c>
      <c r="G21" s="6" t="s">
        <v>29</v>
      </c>
      <c r="H21" s="8">
        <v>103.7</v>
      </c>
      <c r="I21" s="8">
        <v>198.9</v>
      </c>
      <c r="J21" s="9">
        <v>0.52136752136752096</v>
      </c>
      <c r="K21" s="10">
        <v>0.28455253896430399</v>
      </c>
      <c r="L21" s="10">
        <v>0.40546448087431702</v>
      </c>
      <c r="M21" s="10">
        <v>-7.5630252100840401E-2</v>
      </c>
      <c r="N21" s="11">
        <v>0.9</v>
      </c>
      <c r="O21" s="11">
        <v>1</v>
      </c>
      <c r="P21" s="10">
        <v>0.71199999999999997</v>
      </c>
      <c r="Q21" s="12">
        <v>91.053811300927705</v>
      </c>
    </row>
    <row r="22" spans="1:17" ht="30" x14ac:dyDescent="0.2">
      <c r="A22" s="6">
        <v>10</v>
      </c>
      <c r="B22" s="7" t="s">
        <v>57</v>
      </c>
      <c r="C22" s="6" t="s">
        <v>58</v>
      </c>
      <c r="D22" s="6" t="s">
        <v>27</v>
      </c>
      <c r="E22" s="6">
        <v>1889</v>
      </c>
      <c r="F22" s="7" t="s">
        <v>59</v>
      </c>
      <c r="G22" s="6" t="s">
        <v>29</v>
      </c>
      <c r="H22" s="8">
        <v>372</v>
      </c>
      <c r="I22" s="8">
        <v>238.8</v>
      </c>
      <c r="J22" s="9">
        <v>1.55778894472362</v>
      </c>
      <c r="K22" s="10">
        <v>0.12531407035175901</v>
      </c>
      <c r="L22" s="10">
        <v>1.5386996904024799</v>
      </c>
      <c r="M22" s="10">
        <v>0</v>
      </c>
      <c r="N22" s="11">
        <v>1</v>
      </c>
      <c r="O22" s="11">
        <v>1</v>
      </c>
      <c r="P22" s="10">
        <v>0.85</v>
      </c>
      <c r="Q22" s="12">
        <v>90.592209322829305</v>
      </c>
    </row>
    <row r="23" spans="1:17" ht="45" x14ac:dyDescent="0.2">
      <c r="A23" s="6">
        <v>11</v>
      </c>
      <c r="B23" s="7" t="s">
        <v>60</v>
      </c>
      <c r="C23" s="6" t="s">
        <v>61</v>
      </c>
      <c r="D23" s="6" t="s">
        <v>27</v>
      </c>
      <c r="E23" s="6">
        <v>1867</v>
      </c>
      <c r="F23" s="7" t="s">
        <v>62</v>
      </c>
      <c r="G23" s="6" t="s">
        <v>46</v>
      </c>
      <c r="H23" s="8">
        <v>175.2</v>
      </c>
      <c r="I23" s="8">
        <v>117.6</v>
      </c>
      <c r="J23" s="9">
        <v>1.4897959183673499</v>
      </c>
      <c r="K23" s="10">
        <v>8.7244897959183706E-2</v>
      </c>
      <c r="L23" s="10">
        <v>0.57704654895666097</v>
      </c>
      <c r="M23" s="10">
        <v>0.14245810055865901</v>
      </c>
      <c r="N23" s="11">
        <v>1</v>
      </c>
      <c r="O23" s="11">
        <v>1</v>
      </c>
      <c r="P23" s="10">
        <v>0.60640000000000005</v>
      </c>
      <c r="Q23" s="12">
        <v>90.516096614241405</v>
      </c>
    </row>
    <row r="24" spans="1:17" ht="30" x14ac:dyDescent="0.2">
      <c r="A24" s="6">
        <v>12</v>
      </c>
      <c r="B24" s="7" t="s">
        <v>63</v>
      </c>
      <c r="C24" s="6" t="s">
        <v>64</v>
      </c>
      <c r="D24" s="6" t="s">
        <v>27</v>
      </c>
      <c r="E24" s="6">
        <v>1977</v>
      </c>
      <c r="F24" s="7" t="s">
        <v>65</v>
      </c>
      <c r="G24" s="6" t="s">
        <v>46</v>
      </c>
      <c r="H24" s="8">
        <v>431.6</v>
      </c>
      <c r="I24" s="8">
        <v>364.9</v>
      </c>
      <c r="J24" s="9">
        <v>1.1827898054261401</v>
      </c>
      <c r="K24" s="10">
        <v>0.10372704850644</v>
      </c>
      <c r="L24" s="10">
        <v>0.77830750893921297</v>
      </c>
      <c r="M24" s="10">
        <v>-7.2992700729926797E-3</v>
      </c>
      <c r="N24" s="11">
        <v>1</v>
      </c>
      <c r="O24" s="11">
        <v>1</v>
      </c>
      <c r="P24" s="10">
        <v>0.85</v>
      </c>
      <c r="Q24" s="12">
        <v>90.055613783786796</v>
      </c>
    </row>
    <row r="25" spans="1:17" ht="45" x14ac:dyDescent="0.2">
      <c r="A25" s="6">
        <v>13</v>
      </c>
      <c r="B25" s="7" t="s">
        <v>66</v>
      </c>
      <c r="C25" s="6" t="s">
        <v>67</v>
      </c>
      <c r="D25" s="6" t="s">
        <v>27</v>
      </c>
      <c r="E25" s="6">
        <v>1834</v>
      </c>
      <c r="F25" s="7" t="s">
        <v>68</v>
      </c>
      <c r="G25" s="6" t="s">
        <v>46</v>
      </c>
      <c r="H25" s="8">
        <v>730.9</v>
      </c>
      <c r="I25" s="8">
        <v>650.9</v>
      </c>
      <c r="J25" s="9">
        <v>1.12290674450761</v>
      </c>
      <c r="K25" s="10">
        <v>9.9208787832232304E-2</v>
      </c>
      <c r="L25" s="10">
        <v>0.86745213549337197</v>
      </c>
      <c r="M25" s="10">
        <v>-3.2520325203252098E-2</v>
      </c>
      <c r="N25" s="11">
        <v>1</v>
      </c>
      <c r="O25" s="11">
        <v>1</v>
      </c>
      <c r="P25" s="10">
        <v>0.85</v>
      </c>
      <c r="Q25" s="12">
        <v>90.017597801548902</v>
      </c>
    </row>
    <row r="26" spans="1:17" ht="30" x14ac:dyDescent="0.2">
      <c r="A26" s="6">
        <v>14</v>
      </c>
      <c r="B26" s="7" t="s">
        <v>69</v>
      </c>
      <c r="C26" s="6" t="s">
        <v>70</v>
      </c>
      <c r="D26" s="6" t="s">
        <v>52</v>
      </c>
      <c r="E26" s="6">
        <v>1994</v>
      </c>
      <c r="F26" s="7" t="s">
        <v>71</v>
      </c>
      <c r="G26" s="6" t="s">
        <v>29</v>
      </c>
      <c r="H26" s="8">
        <v>212.8</v>
      </c>
      <c r="I26" s="8">
        <v>32.4</v>
      </c>
      <c r="J26" s="9">
        <v>6.5679012345679002</v>
      </c>
      <c r="K26" s="10">
        <v>0.46064814814814797</v>
      </c>
      <c r="L26" s="10">
        <v>1.3485342019544</v>
      </c>
      <c r="M26" s="10">
        <v>0</v>
      </c>
      <c r="N26" s="11">
        <v>1</v>
      </c>
      <c r="O26" s="11">
        <v>1</v>
      </c>
      <c r="P26" s="10">
        <v>0.85</v>
      </c>
      <c r="Q26" s="12">
        <v>89.449607763885297</v>
      </c>
    </row>
    <row r="27" spans="1:17" ht="30" x14ac:dyDescent="0.2">
      <c r="A27" s="6">
        <v>15</v>
      </c>
      <c r="B27" s="7" t="s">
        <v>72</v>
      </c>
      <c r="C27" s="6" t="s">
        <v>73</v>
      </c>
      <c r="D27" s="6" t="s">
        <v>27</v>
      </c>
      <c r="E27" s="6">
        <v>1979</v>
      </c>
      <c r="F27" s="7" t="s">
        <v>74</v>
      </c>
      <c r="G27" s="6" t="s">
        <v>75</v>
      </c>
      <c r="H27" s="8">
        <v>1075.9000000000001</v>
      </c>
      <c r="I27" s="8">
        <v>892.3</v>
      </c>
      <c r="J27" s="9">
        <v>1.2057603944861599</v>
      </c>
      <c r="K27" s="10">
        <v>6.5981172251484893E-2</v>
      </c>
      <c r="L27" s="10">
        <v>0.5414735301293</v>
      </c>
      <c r="M27" s="10">
        <v>-2.0000000000000101E-2</v>
      </c>
      <c r="N27" s="11">
        <v>1</v>
      </c>
      <c r="O27" s="11">
        <v>1</v>
      </c>
      <c r="P27" s="10">
        <v>0.64</v>
      </c>
      <c r="Q27" s="12">
        <v>88.993807547499799</v>
      </c>
    </row>
    <row r="28" spans="1:17" ht="30" x14ac:dyDescent="0.2">
      <c r="A28" s="6">
        <v>16</v>
      </c>
      <c r="B28" s="7" t="s">
        <v>76</v>
      </c>
      <c r="C28" s="6" t="s">
        <v>77</v>
      </c>
      <c r="D28" s="6" t="s">
        <v>27</v>
      </c>
      <c r="E28" s="6">
        <v>1912</v>
      </c>
      <c r="F28" s="7" t="s">
        <v>78</v>
      </c>
      <c r="G28" s="6" t="s">
        <v>46</v>
      </c>
      <c r="H28" s="8">
        <v>201.4</v>
      </c>
      <c r="I28" s="8">
        <v>157.1</v>
      </c>
      <c r="J28" s="9">
        <v>1.28198599618078</v>
      </c>
      <c r="K28" s="10">
        <v>0.10789306174411201</v>
      </c>
      <c r="L28" s="10">
        <v>0.65</v>
      </c>
      <c r="M28" s="10">
        <v>-0.10327868852459</v>
      </c>
      <c r="N28" s="11">
        <v>1</v>
      </c>
      <c r="O28" s="11">
        <v>1</v>
      </c>
      <c r="P28" s="10">
        <v>0.85</v>
      </c>
      <c r="Q28" s="12">
        <v>88.4210453844304</v>
      </c>
    </row>
    <row r="29" spans="1:17" ht="30" x14ac:dyDescent="0.2">
      <c r="A29" s="6">
        <v>17</v>
      </c>
      <c r="B29" s="7" t="s">
        <v>79</v>
      </c>
      <c r="C29" s="6" t="s">
        <v>80</v>
      </c>
      <c r="D29" s="6" t="s">
        <v>27</v>
      </c>
      <c r="E29" s="6">
        <v>2005</v>
      </c>
      <c r="F29" s="7" t="s">
        <v>81</v>
      </c>
      <c r="G29" s="6" t="s">
        <v>75</v>
      </c>
      <c r="H29" s="8">
        <v>130.19999999999999</v>
      </c>
      <c r="I29" s="8">
        <v>550.6</v>
      </c>
      <c r="J29" s="9">
        <v>0.23646930621140599</v>
      </c>
      <c r="K29" s="10">
        <v>3.7958590628405398E-2</v>
      </c>
      <c r="L29" s="10">
        <v>0.95322939866369705</v>
      </c>
      <c r="M29" s="10">
        <v>-0.27352941176470602</v>
      </c>
      <c r="N29" s="11">
        <v>0.8</v>
      </c>
      <c r="O29" s="11">
        <v>0.9</v>
      </c>
      <c r="P29" s="10">
        <v>0.95</v>
      </c>
      <c r="Q29" s="12">
        <v>88.252417039696994</v>
      </c>
    </row>
    <row r="30" spans="1:17" ht="30" x14ac:dyDescent="0.2">
      <c r="A30" s="6">
        <v>18</v>
      </c>
      <c r="B30" s="7" t="s">
        <v>82</v>
      </c>
      <c r="C30" s="6" t="s">
        <v>83</v>
      </c>
      <c r="D30" s="6" t="s">
        <v>27</v>
      </c>
      <c r="E30" s="6">
        <v>1990</v>
      </c>
      <c r="F30" s="7" t="s">
        <v>84</v>
      </c>
      <c r="G30" s="6" t="s">
        <v>33</v>
      </c>
      <c r="H30" s="8">
        <v>236.9</v>
      </c>
      <c r="I30" s="8">
        <v>262.3</v>
      </c>
      <c r="J30" s="9">
        <v>0.90316431566908095</v>
      </c>
      <c r="K30" s="10">
        <v>9.4738848646587895E-2</v>
      </c>
      <c r="L30" s="10">
        <v>0.46931818181818202</v>
      </c>
      <c r="M30" s="10">
        <v>-6.3583815028901702E-2</v>
      </c>
      <c r="N30" s="11">
        <v>1</v>
      </c>
      <c r="O30" s="11">
        <v>0.8</v>
      </c>
      <c r="P30" s="10">
        <v>0.77</v>
      </c>
      <c r="Q30" s="12">
        <v>87.747362618101704</v>
      </c>
    </row>
    <row r="31" spans="1:17" ht="30" x14ac:dyDescent="0.2">
      <c r="A31" s="6">
        <v>19</v>
      </c>
      <c r="B31" s="7" t="s">
        <v>85</v>
      </c>
      <c r="C31" s="6" t="s">
        <v>86</v>
      </c>
      <c r="D31" s="6" t="s">
        <v>52</v>
      </c>
      <c r="E31" s="6"/>
      <c r="F31" s="7" t="s">
        <v>87</v>
      </c>
      <c r="G31" s="6" t="s">
        <v>46</v>
      </c>
      <c r="H31" s="8">
        <v>1049.5999999999999</v>
      </c>
      <c r="I31" s="8">
        <v>389.6</v>
      </c>
      <c r="J31" s="9">
        <v>2.6940451745379899</v>
      </c>
      <c r="K31" s="10">
        <v>9.8498459958932194E-2</v>
      </c>
      <c r="L31" s="10">
        <v>2.63410483321988</v>
      </c>
      <c r="M31" s="10">
        <v>-4.4204322200392901E-2</v>
      </c>
      <c r="N31" s="11">
        <v>1</v>
      </c>
      <c r="O31" s="11">
        <v>1</v>
      </c>
      <c r="P31" s="10">
        <v>0.69699999999999995</v>
      </c>
      <c r="Q31" s="12">
        <v>87.477066253796096</v>
      </c>
    </row>
    <row r="32" spans="1:17" ht="45" x14ac:dyDescent="0.2">
      <c r="A32" s="6">
        <v>20</v>
      </c>
      <c r="B32" s="7" t="s">
        <v>88</v>
      </c>
      <c r="C32" s="6" t="s">
        <v>89</v>
      </c>
      <c r="D32" s="6" t="s">
        <v>27</v>
      </c>
      <c r="E32" s="6">
        <v>1895</v>
      </c>
      <c r="F32" s="7" t="s">
        <v>90</v>
      </c>
      <c r="G32" s="6" t="s">
        <v>46</v>
      </c>
      <c r="H32" s="8">
        <v>731.4</v>
      </c>
      <c r="I32" s="8">
        <v>552.9</v>
      </c>
      <c r="J32" s="9">
        <v>1.3228431904503499</v>
      </c>
      <c r="K32" s="10">
        <v>9.0522698498824397E-2</v>
      </c>
      <c r="L32" s="10">
        <v>0.93842556508183905</v>
      </c>
      <c r="M32" s="10">
        <v>0</v>
      </c>
      <c r="N32" s="11">
        <v>1</v>
      </c>
      <c r="O32" s="11">
        <v>0.9</v>
      </c>
      <c r="P32" s="10">
        <v>0.85</v>
      </c>
      <c r="Q32" s="12">
        <v>87.3653955833651</v>
      </c>
    </row>
    <row r="33" spans="1:17" ht="30" x14ac:dyDescent="0.2">
      <c r="A33" s="6">
        <v>21</v>
      </c>
      <c r="B33" s="7" t="s">
        <v>91</v>
      </c>
      <c r="C33" s="6" t="s">
        <v>92</v>
      </c>
      <c r="D33" s="6" t="s">
        <v>27</v>
      </c>
      <c r="E33" s="6">
        <v>1982</v>
      </c>
      <c r="F33" s="7" t="s">
        <v>93</v>
      </c>
      <c r="G33" s="6" t="s">
        <v>33</v>
      </c>
      <c r="H33" s="8">
        <v>61.5</v>
      </c>
      <c r="I33" s="8">
        <v>119.3</v>
      </c>
      <c r="J33" s="9">
        <v>0.51550712489522199</v>
      </c>
      <c r="K33" s="10">
        <v>2.78918692372171E-2</v>
      </c>
      <c r="L33" s="10">
        <v>0.229910714285714</v>
      </c>
      <c r="M33" s="10">
        <v>-0.13157894736842099</v>
      </c>
      <c r="N33" s="11">
        <v>0.9</v>
      </c>
      <c r="O33" s="11">
        <v>0.88888888888888895</v>
      </c>
      <c r="P33" s="10">
        <v>0.85</v>
      </c>
      <c r="Q33" s="12">
        <v>87.276633340324594</v>
      </c>
    </row>
    <row r="34" spans="1:17" ht="30" x14ac:dyDescent="0.2">
      <c r="A34" s="6">
        <v>22</v>
      </c>
      <c r="B34" s="7" t="s">
        <v>94</v>
      </c>
      <c r="C34" s="6" t="s">
        <v>95</v>
      </c>
      <c r="D34" s="6" t="s">
        <v>27</v>
      </c>
      <c r="E34" s="6"/>
      <c r="F34" s="7" t="s">
        <v>96</v>
      </c>
      <c r="G34" s="6" t="s">
        <v>29</v>
      </c>
      <c r="H34" s="8">
        <v>880.6</v>
      </c>
      <c r="I34" s="8">
        <v>788.8</v>
      </c>
      <c r="J34" s="9">
        <v>1.1163793103448301</v>
      </c>
      <c r="K34" s="10">
        <v>0.15418990872211</v>
      </c>
      <c r="L34" s="10">
        <v>1.82092476489028</v>
      </c>
      <c r="M34" s="10">
        <v>1.4736842105263199E-2</v>
      </c>
      <c r="N34" s="11">
        <v>0.9</v>
      </c>
      <c r="O34" s="11">
        <v>1</v>
      </c>
      <c r="P34" s="10">
        <v>0.59299999999999997</v>
      </c>
      <c r="Q34" s="12">
        <v>87.214125119524297</v>
      </c>
    </row>
    <row r="35" spans="1:17" ht="30" x14ac:dyDescent="0.2">
      <c r="A35" s="6">
        <v>23</v>
      </c>
      <c r="B35" s="7" t="s">
        <v>97</v>
      </c>
      <c r="C35" s="6" t="s">
        <v>98</v>
      </c>
      <c r="D35" s="6" t="s">
        <v>27</v>
      </c>
      <c r="E35" s="6">
        <v>1923</v>
      </c>
      <c r="F35" s="7" t="s">
        <v>99</v>
      </c>
      <c r="G35" s="6" t="s">
        <v>75</v>
      </c>
      <c r="H35" s="8">
        <v>78.599999999999994</v>
      </c>
      <c r="I35" s="8">
        <v>157.30000000000001</v>
      </c>
      <c r="J35" s="9">
        <v>0.499682136045772</v>
      </c>
      <c r="K35" s="10">
        <v>2.3744437380800999E-2</v>
      </c>
      <c r="L35" s="10">
        <v>0.77192982456140302</v>
      </c>
      <c r="M35" s="10">
        <v>-0.248717948717949</v>
      </c>
      <c r="N35" s="11">
        <v>0.9</v>
      </c>
      <c r="O35" s="11">
        <v>0.9</v>
      </c>
      <c r="P35" s="10">
        <v>0.85</v>
      </c>
      <c r="Q35" s="12">
        <v>86.944385460217404</v>
      </c>
    </row>
    <row r="36" spans="1:17" ht="30" x14ac:dyDescent="0.2">
      <c r="A36" s="6">
        <v>24</v>
      </c>
      <c r="B36" s="7" t="s">
        <v>100</v>
      </c>
      <c r="C36" s="6" t="s">
        <v>101</v>
      </c>
      <c r="D36" s="6" t="s">
        <v>27</v>
      </c>
      <c r="E36" s="6">
        <v>1990</v>
      </c>
      <c r="F36" s="7" t="s">
        <v>102</v>
      </c>
      <c r="G36" s="6" t="s">
        <v>75</v>
      </c>
      <c r="H36" s="8">
        <v>615.6</v>
      </c>
      <c r="I36" s="8">
        <v>354</v>
      </c>
      <c r="J36" s="9">
        <v>1.73898305084746</v>
      </c>
      <c r="K36" s="10">
        <v>4.6327683615819203E-2</v>
      </c>
      <c r="L36" s="10">
        <v>0.58302967204581002</v>
      </c>
      <c r="M36" s="10">
        <v>-6.2305295950155798E-2</v>
      </c>
      <c r="N36" s="11">
        <v>1</v>
      </c>
      <c r="O36" s="11">
        <v>1</v>
      </c>
      <c r="P36" s="10">
        <v>0.75</v>
      </c>
      <c r="Q36" s="12">
        <v>86.307534383934097</v>
      </c>
    </row>
    <row r="37" spans="1:17" ht="30" x14ac:dyDescent="0.2">
      <c r="A37" s="6">
        <v>25</v>
      </c>
      <c r="B37" s="7" t="s">
        <v>103</v>
      </c>
      <c r="C37" s="6" t="s">
        <v>104</v>
      </c>
      <c r="D37" s="6" t="s">
        <v>27</v>
      </c>
      <c r="E37" s="6">
        <v>1904</v>
      </c>
      <c r="F37" s="7" t="s">
        <v>105</v>
      </c>
      <c r="G37" s="6" t="s">
        <v>29</v>
      </c>
      <c r="H37" s="8">
        <v>619.70000000000005</v>
      </c>
      <c r="I37" s="8">
        <v>40.5</v>
      </c>
      <c r="J37" s="9">
        <v>15.301234567901201</v>
      </c>
      <c r="K37" s="10">
        <v>0.72222222222222199</v>
      </c>
      <c r="L37" s="10">
        <v>1.30658436213992</v>
      </c>
      <c r="M37" s="10">
        <v>4.4247787610619503E-2</v>
      </c>
      <c r="N37" s="11">
        <v>1</v>
      </c>
      <c r="O37" s="11">
        <v>1</v>
      </c>
      <c r="P37" s="10">
        <v>0.7</v>
      </c>
      <c r="Q37" s="12">
        <v>86.289290442006006</v>
      </c>
    </row>
    <row r="38" spans="1:17" ht="30" x14ac:dyDescent="0.2">
      <c r="A38" s="6">
        <v>26</v>
      </c>
      <c r="B38" s="7" t="s">
        <v>106</v>
      </c>
      <c r="C38" s="6" t="s">
        <v>107</v>
      </c>
      <c r="D38" s="6" t="s">
        <v>27</v>
      </c>
      <c r="E38" s="6">
        <v>1996</v>
      </c>
      <c r="F38" s="7" t="s">
        <v>108</v>
      </c>
      <c r="G38" s="6" t="s">
        <v>75</v>
      </c>
      <c r="H38" s="8">
        <v>244.2</v>
      </c>
      <c r="I38" s="8">
        <v>124.8</v>
      </c>
      <c r="J38" s="9">
        <v>1.9567307692307701</v>
      </c>
      <c r="K38" s="10">
        <v>-6.9270833333333406E-2</v>
      </c>
      <c r="L38" s="10">
        <v>2.8203883495145599</v>
      </c>
      <c r="M38" s="10">
        <v>0.168604651162791</v>
      </c>
      <c r="N38" s="11">
        <v>0.9</v>
      </c>
      <c r="O38" s="11">
        <v>1</v>
      </c>
      <c r="P38" s="10">
        <v>0.76</v>
      </c>
      <c r="Q38" s="12">
        <v>85.782665409640799</v>
      </c>
    </row>
    <row r="39" spans="1:17" ht="30" x14ac:dyDescent="0.2">
      <c r="A39" s="6">
        <v>27</v>
      </c>
      <c r="B39" s="7" t="s">
        <v>109</v>
      </c>
      <c r="C39" s="6" t="s">
        <v>110</v>
      </c>
      <c r="D39" s="6" t="s">
        <v>27</v>
      </c>
      <c r="E39" s="6"/>
      <c r="F39" s="7" t="s">
        <v>111</v>
      </c>
      <c r="G39" s="6" t="s">
        <v>46</v>
      </c>
      <c r="H39" s="8">
        <v>267.7</v>
      </c>
      <c r="I39" s="8">
        <v>149.19999999999999</v>
      </c>
      <c r="J39" s="9">
        <v>1.79423592493298</v>
      </c>
      <c r="K39" s="10">
        <v>9.9865951742627398E-2</v>
      </c>
      <c r="L39" s="10">
        <v>1.2222222222222201</v>
      </c>
      <c r="M39" s="10">
        <v>0.14285714285714299</v>
      </c>
      <c r="N39" s="11">
        <v>1</v>
      </c>
      <c r="O39" s="11">
        <v>0.88888888888888895</v>
      </c>
      <c r="P39" s="10">
        <v>0.65500000000000003</v>
      </c>
      <c r="Q39" s="12">
        <v>85.3556340094473</v>
      </c>
    </row>
    <row r="40" spans="1:17" ht="30" x14ac:dyDescent="0.2">
      <c r="A40" s="6">
        <v>28</v>
      </c>
      <c r="B40" s="7" t="s">
        <v>112</v>
      </c>
      <c r="C40" s="6" t="s">
        <v>113</v>
      </c>
      <c r="D40" s="6" t="s">
        <v>27</v>
      </c>
      <c r="E40" s="6"/>
      <c r="F40" s="7" t="s">
        <v>114</v>
      </c>
      <c r="G40" s="6" t="s">
        <v>46</v>
      </c>
      <c r="H40" s="8">
        <v>399.8</v>
      </c>
      <c r="I40" s="8">
        <v>266</v>
      </c>
      <c r="J40" s="9">
        <v>1.50300751879699</v>
      </c>
      <c r="K40" s="10">
        <v>0.119548872180451</v>
      </c>
      <c r="L40" s="10">
        <v>0.49685534591195002</v>
      </c>
      <c r="M40" s="10">
        <v>4.9382716049382797E-2</v>
      </c>
      <c r="N40" s="11">
        <v>1</v>
      </c>
      <c r="O40" s="11">
        <v>1</v>
      </c>
      <c r="P40" s="10">
        <v>0.77</v>
      </c>
      <c r="Q40" s="12">
        <v>85.256103967888905</v>
      </c>
    </row>
    <row r="41" spans="1:17" ht="30" x14ac:dyDescent="0.2">
      <c r="A41" s="6">
        <v>29</v>
      </c>
      <c r="B41" s="7" t="s">
        <v>115</v>
      </c>
      <c r="C41" s="6" t="s">
        <v>116</v>
      </c>
      <c r="D41" s="6" t="s">
        <v>27</v>
      </c>
      <c r="E41" s="6"/>
      <c r="F41" s="7" t="s">
        <v>117</v>
      </c>
      <c r="G41" s="6" t="s">
        <v>75</v>
      </c>
      <c r="H41" s="8">
        <v>176.3</v>
      </c>
      <c r="I41" s="8">
        <v>184.9</v>
      </c>
      <c r="J41" s="9">
        <v>0.95348837209302295</v>
      </c>
      <c r="K41" s="10">
        <v>6.7955651703623596E-2</v>
      </c>
      <c r="L41" s="10">
        <v>0.37837837837837801</v>
      </c>
      <c r="M41" s="10">
        <v>2.2446689113355301E-3</v>
      </c>
      <c r="N41" s="11">
        <v>1</v>
      </c>
      <c r="O41" s="11">
        <v>1</v>
      </c>
      <c r="P41" s="10">
        <v>0.77749999999999997</v>
      </c>
      <c r="Q41" s="12">
        <v>85.048121066066003</v>
      </c>
    </row>
    <row r="42" spans="1:17" ht="30" x14ac:dyDescent="0.2">
      <c r="A42" s="6">
        <v>30</v>
      </c>
      <c r="B42" s="7" t="s">
        <v>118</v>
      </c>
      <c r="C42" s="6" t="s">
        <v>119</v>
      </c>
      <c r="D42" s="6" t="s">
        <v>52</v>
      </c>
      <c r="E42" s="6">
        <v>1923</v>
      </c>
      <c r="F42" s="7" t="s">
        <v>120</v>
      </c>
      <c r="G42" s="6" t="s">
        <v>75</v>
      </c>
      <c r="H42" s="8">
        <v>402.3</v>
      </c>
      <c r="I42" s="8">
        <v>924.8</v>
      </c>
      <c r="J42" s="9">
        <v>0.43501297577854697</v>
      </c>
      <c r="K42" s="10">
        <v>4.8469939446366801E-2</v>
      </c>
      <c r="L42" s="10">
        <v>0.65872576177285302</v>
      </c>
      <c r="M42" s="10">
        <v>-8.7087087087087095E-2</v>
      </c>
      <c r="N42" s="11">
        <v>1</v>
      </c>
      <c r="O42" s="11">
        <v>1</v>
      </c>
      <c r="P42" s="10">
        <v>0.48</v>
      </c>
      <c r="Q42" s="12">
        <v>84.817485233919598</v>
      </c>
    </row>
    <row r="43" spans="1:17" ht="30" x14ac:dyDescent="0.2">
      <c r="A43" s="6">
        <v>31</v>
      </c>
      <c r="B43" s="7" t="s">
        <v>121</v>
      </c>
      <c r="C43" s="6" t="s">
        <v>122</v>
      </c>
      <c r="D43" s="6" t="s">
        <v>27</v>
      </c>
      <c r="E43" s="6">
        <v>1853</v>
      </c>
      <c r="F43" s="7" t="s">
        <v>123</v>
      </c>
      <c r="G43" s="6" t="s">
        <v>75</v>
      </c>
      <c r="H43" s="8">
        <v>256.39999999999998</v>
      </c>
      <c r="I43" s="8">
        <v>247.6</v>
      </c>
      <c r="J43" s="9">
        <v>1.0355411954765801</v>
      </c>
      <c r="K43" s="10">
        <v>6.8659127625202002E-2</v>
      </c>
      <c r="L43" s="10">
        <v>0.88761467889908197</v>
      </c>
      <c r="M43" s="10">
        <v>2.5252525252525301E-2</v>
      </c>
      <c r="N43" s="11">
        <v>1</v>
      </c>
      <c r="O43" s="11">
        <v>1</v>
      </c>
      <c r="P43" s="10">
        <v>0.84</v>
      </c>
      <c r="Q43" s="12">
        <v>84.7270397912135</v>
      </c>
    </row>
    <row r="44" spans="1:17" ht="30" x14ac:dyDescent="0.2">
      <c r="A44" s="6">
        <v>32</v>
      </c>
      <c r="B44" s="7" t="s">
        <v>124</v>
      </c>
      <c r="C44" s="6" t="s">
        <v>125</v>
      </c>
      <c r="D44" s="6" t="s">
        <v>27</v>
      </c>
      <c r="E44" s="6">
        <v>1875</v>
      </c>
      <c r="F44" s="7" t="s">
        <v>126</v>
      </c>
      <c r="G44" s="6" t="s">
        <v>46</v>
      </c>
      <c r="H44" s="8">
        <v>777.7</v>
      </c>
      <c r="I44" s="8">
        <v>696.6</v>
      </c>
      <c r="J44" s="9">
        <v>1.1164226241745601</v>
      </c>
      <c r="K44" s="10">
        <v>8.0031581969566501E-2</v>
      </c>
      <c r="L44" s="10">
        <v>0.59931506849315097</v>
      </c>
      <c r="M44" s="10">
        <v>9.6774193548387094E-2</v>
      </c>
      <c r="N44" s="11">
        <v>1</v>
      </c>
      <c r="O44" s="11">
        <v>1</v>
      </c>
      <c r="P44" s="10">
        <v>0.72</v>
      </c>
      <c r="Q44" s="12">
        <v>84.547075428415198</v>
      </c>
    </row>
    <row r="45" spans="1:17" ht="30" x14ac:dyDescent="0.2">
      <c r="A45" s="6">
        <v>33</v>
      </c>
      <c r="B45" s="7" t="s">
        <v>127</v>
      </c>
      <c r="C45" s="6" t="s">
        <v>128</v>
      </c>
      <c r="D45" s="6" t="s">
        <v>52</v>
      </c>
      <c r="E45" s="6"/>
      <c r="F45" s="7" t="s">
        <v>129</v>
      </c>
      <c r="G45" s="6" t="s">
        <v>75</v>
      </c>
      <c r="H45" s="8">
        <v>197</v>
      </c>
      <c r="I45" s="8">
        <v>315</v>
      </c>
      <c r="J45" s="9">
        <v>0.62539682539682495</v>
      </c>
      <c r="K45" s="10">
        <v>5.7777777777777803E-2</v>
      </c>
      <c r="L45" s="10">
        <v>0.39207048458149801</v>
      </c>
      <c r="M45" s="10">
        <v>1.5358361774744001E-2</v>
      </c>
      <c r="N45" s="11">
        <v>0.9</v>
      </c>
      <c r="O45" s="11">
        <v>0.9</v>
      </c>
      <c r="P45" s="10">
        <v>0.66100000000000003</v>
      </c>
      <c r="Q45" s="12">
        <v>84.227802657900597</v>
      </c>
    </row>
    <row r="46" spans="1:17" ht="30" x14ac:dyDescent="0.2">
      <c r="A46" s="6">
        <v>34</v>
      </c>
      <c r="B46" s="7" t="s">
        <v>130</v>
      </c>
      <c r="C46" s="6" t="s">
        <v>131</v>
      </c>
      <c r="D46" s="6" t="s">
        <v>27</v>
      </c>
      <c r="E46" s="6">
        <v>1877</v>
      </c>
      <c r="F46" s="7" t="s">
        <v>132</v>
      </c>
      <c r="G46" s="6" t="s">
        <v>46</v>
      </c>
      <c r="H46" s="8">
        <v>139.1</v>
      </c>
      <c r="I46" s="8">
        <v>129.6</v>
      </c>
      <c r="J46" s="9">
        <v>1.0733024691358</v>
      </c>
      <c r="K46" s="10">
        <v>9.8148148148148207E-2</v>
      </c>
      <c r="L46" s="10">
        <v>0.67732558139534904</v>
      </c>
      <c r="M46" s="10">
        <v>9.7058823529411795E-2</v>
      </c>
      <c r="N46" s="11">
        <v>1</v>
      </c>
      <c r="O46" s="11">
        <v>1</v>
      </c>
      <c r="P46" s="10">
        <v>0.56989999999999996</v>
      </c>
      <c r="Q46" s="12">
        <v>84.133315275277496</v>
      </c>
    </row>
    <row r="47" spans="1:17" ht="30" x14ac:dyDescent="0.2">
      <c r="A47" s="6">
        <v>35</v>
      </c>
      <c r="B47" s="7" t="s">
        <v>133</v>
      </c>
      <c r="C47" s="6" t="s">
        <v>134</v>
      </c>
      <c r="D47" s="6" t="s">
        <v>27</v>
      </c>
      <c r="E47" s="6">
        <v>2005</v>
      </c>
      <c r="F47" s="7" t="s">
        <v>135</v>
      </c>
      <c r="G47" s="6" t="s">
        <v>33</v>
      </c>
      <c r="H47" s="8">
        <v>91.4</v>
      </c>
      <c r="I47" s="8">
        <v>99.6</v>
      </c>
      <c r="J47" s="9">
        <v>0.917670682730924</v>
      </c>
      <c r="K47" s="10">
        <v>0.11420682730923699</v>
      </c>
      <c r="L47" s="10">
        <v>1.0842911877394601</v>
      </c>
      <c r="M47" s="10">
        <v>-9.7087378640776795E-3</v>
      </c>
      <c r="N47" s="11">
        <v>1</v>
      </c>
      <c r="O47" s="11">
        <v>0</v>
      </c>
      <c r="P47" s="10">
        <v>0.58499999999999996</v>
      </c>
      <c r="Q47" s="12">
        <v>84.071848874407607</v>
      </c>
    </row>
    <row r="48" spans="1:17" ht="30" x14ac:dyDescent="0.2">
      <c r="A48" s="6">
        <v>36</v>
      </c>
      <c r="B48" s="7" t="s">
        <v>136</v>
      </c>
      <c r="C48" s="6" t="s">
        <v>137</v>
      </c>
      <c r="D48" s="6" t="s">
        <v>52</v>
      </c>
      <c r="E48" s="6">
        <v>1978</v>
      </c>
      <c r="F48" s="7" t="s">
        <v>138</v>
      </c>
      <c r="G48" s="6" t="s">
        <v>29</v>
      </c>
      <c r="H48" s="8">
        <v>231.8</v>
      </c>
      <c r="I48" s="8">
        <v>59.8</v>
      </c>
      <c r="J48" s="9">
        <v>3.8762541806020101</v>
      </c>
      <c r="K48" s="10">
        <v>0.26086956521739102</v>
      </c>
      <c r="L48" s="10">
        <v>0.64579606440071602</v>
      </c>
      <c r="M48" s="10">
        <v>5.6818181818181802E-2</v>
      </c>
      <c r="N48" s="11">
        <v>1</v>
      </c>
      <c r="O48" s="11">
        <v>1</v>
      </c>
      <c r="P48" s="10">
        <v>0.81599999999999995</v>
      </c>
      <c r="Q48" s="12">
        <v>84.058443126486694</v>
      </c>
    </row>
    <row r="49" spans="1:17" ht="30" x14ac:dyDescent="0.2">
      <c r="A49" s="6">
        <v>37</v>
      </c>
      <c r="B49" s="7" t="s">
        <v>139</v>
      </c>
      <c r="C49" s="6" t="s">
        <v>140</v>
      </c>
      <c r="D49" s="6" t="s">
        <v>27</v>
      </c>
      <c r="E49" s="6">
        <v>1973</v>
      </c>
      <c r="F49" s="7" t="s">
        <v>141</v>
      </c>
      <c r="G49" s="6" t="s">
        <v>29</v>
      </c>
      <c r="H49" s="8">
        <v>338.8</v>
      </c>
      <c r="I49" s="8">
        <v>202.9</v>
      </c>
      <c r="J49" s="9">
        <v>1.66978807294234</v>
      </c>
      <c r="K49" s="10">
        <v>0.19985214391325801</v>
      </c>
      <c r="L49" s="10">
        <v>2.33673469387755</v>
      </c>
      <c r="M49" s="10">
        <v>6.0869565217391397E-2</v>
      </c>
      <c r="N49" s="11">
        <v>0.7</v>
      </c>
      <c r="O49" s="11">
        <v>1</v>
      </c>
      <c r="P49" s="10">
        <v>0.85</v>
      </c>
      <c r="Q49" s="12">
        <v>83.870660698713706</v>
      </c>
    </row>
    <row r="50" spans="1:17" ht="30" x14ac:dyDescent="0.2">
      <c r="A50" s="6">
        <v>38</v>
      </c>
      <c r="B50" s="7" t="s">
        <v>142</v>
      </c>
      <c r="C50" s="6" t="s">
        <v>143</v>
      </c>
      <c r="D50" s="6" t="s">
        <v>52</v>
      </c>
      <c r="E50" s="6">
        <v>1917</v>
      </c>
      <c r="F50" s="7" t="s">
        <v>144</v>
      </c>
      <c r="G50" s="6" t="s">
        <v>29</v>
      </c>
      <c r="H50" s="8">
        <v>88.4</v>
      </c>
      <c r="I50" s="8">
        <v>96</v>
      </c>
      <c r="J50" s="9">
        <v>0.92083333333333295</v>
      </c>
      <c r="K50" s="10">
        <v>0.120755208333333</v>
      </c>
      <c r="L50" s="10">
        <v>1.38051044083527</v>
      </c>
      <c r="M50" s="10">
        <v>0</v>
      </c>
      <c r="N50" s="11">
        <v>1</v>
      </c>
      <c r="O50" s="11">
        <v>0.9</v>
      </c>
      <c r="P50" s="10">
        <v>0.33800000000000002</v>
      </c>
      <c r="Q50" s="12">
        <v>83.869381166091401</v>
      </c>
    </row>
    <row r="51" spans="1:17" ht="30" x14ac:dyDescent="0.2">
      <c r="A51" s="6">
        <v>39</v>
      </c>
      <c r="B51" s="7" t="s">
        <v>145</v>
      </c>
      <c r="C51" s="6" t="s">
        <v>146</v>
      </c>
      <c r="D51" s="6" t="s">
        <v>27</v>
      </c>
      <c r="E51" s="6">
        <v>1999</v>
      </c>
      <c r="F51" s="7" t="s">
        <v>147</v>
      </c>
      <c r="G51" s="6" t="s">
        <v>33</v>
      </c>
      <c r="H51" s="8">
        <v>51.8</v>
      </c>
      <c r="I51" s="8">
        <v>56.2</v>
      </c>
      <c r="J51" s="9">
        <v>0.92170818505338103</v>
      </c>
      <c r="K51" s="10">
        <v>9.16814946619217E-2</v>
      </c>
      <c r="L51" s="10">
        <v>2.2032854209445598</v>
      </c>
      <c r="M51" s="10">
        <v>0.16666666666666699</v>
      </c>
      <c r="N51" s="11">
        <v>0.7</v>
      </c>
      <c r="O51" s="11">
        <v>0.83333333333333304</v>
      </c>
      <c r="P51" s="10">
        <v>0.66190000000000004</v>
      </c>
      <c r="Q51" s="12">
        <v>83.6820995087906</v>
      </c>
    </row>
    <row r="52" spans="1:17" ht="30" x14ac:dyDescent="0.2">
      <c r="A52" s="6">
        <v>40</v>
      </c>
      <c r="B52" s="7" t="s">
        <v>148</v>
      </c>
      <c r="C52" s="6" t="s">
        <v>149</v>
      </c>
      <c r="D52" s="6" t="s">
        <v>27</v>
      </c>
      <c r="E52" s="6">
        <v>1996</v>
      </c>
      <c r="F52" s="7" t="s">
        <v>150</v>
      </c>
      <c r="G52" s="6" t="s">
        <v>75</v>
      </c>
      <c r="H52" s="8">
        <v>557.4</v>
      </c>
      <c r="I52" s="8">
        <v>286.8</v>
      </c>
      <c r="J52" s="9">
        <v>1.9435146443514599</v>
      </c>
      <c r="K52" s="10">
        <v>-0.17503486750348701</v>
      </c>
      <c r="L52" s="10">
        <v>1.90660770031218</v>
      </c>
      <c r="M52" s="10">
        <v>0.1015625</v>
      </c>
      <c r="N52" s="11">
        <v>0.6</v>
      </c>
      <c r="O52" s="11">
        <v>1</v>
      </c>
      <c r="P52" s="10">
        <v>0.82</v>
      </c>
      <c r="Q52" s="12">
        <v>83.646703588327</v>
      </c>
    </row>
    <row r="53" spans="1:17" ht="30" x14ac:dyDescent="0.2">
      <c r="A53" s="6">
        <v>41</v>
      </c>
      <c r="B53" s="7" t="s">
        <v>151</v>
      </c>
      <c r="C53" s="6" t="s">
        <v>152</v>
      </c>
      <c r="D53" s="6" t="s">
        <v>27</v>
      </c>
      <c r="E53" s="6">
        <v>1883</v>
      </c>
      <c r="F53" s="7" t="s">
        <v>153</v>
      </c>
      <c r="G53" s="6" t="s">
        <v>75</v>
      </c>
      <c r="H53" s="8">
        <v>86.2</v>
      </c>
      <c r="I53" s="8">
        <v>81.8</v>
      </c>
      <c r="J53" s="9">
        <v>1.05378973105135</v>
      </c>
      <c r="K53" s="10">
        <v>4.7860635696821502E-2</v>
      </c>
      <c r="L53" s="10">
        <v>0.34272300469483602</v>
      </c>
      <c r="M53" s="10">
        <v>-0.15281501340482601</v>
      </c>
      <c r="N53" s="11">
        <v>1</v>
      </c>
      <c r="O53" s="11">
        <v>1</v>
      </c>
      <c r="P53" s="10">
        <v>0.85</v>
      </c>
      <c r="Q53" s="12">
        <v>83.540134287589495</v>
      </c>
    </row>
    <row r="54" spans="1:17" ht="30" x14ac:dyDescent="0.2">
      <c r="A54" s="6">
        <v>42</v>
      </c>
      <c r="B54" s="7" t="s">
        <v>154</v>
      </c>
      <c r="C54" s="6" t="s">
        <v>155</v>
      </c>
      <c r="D54" s="6" t="s">
        <v>27</v>
      </c>
      <c r="E54" s="6">
        <v>1942</v>
      </c>
      <c r="F54" s="7" t="s">
        <v>156</v>
      </c>
      <c r="G54" s="6" t="s">
        <v>29</v>
      </c>
      <c r="H54" s="8">
        <v>538.1</v>
      </c>
      <c r="I54" s="8">
        <v>622.6</v>
      </c>
      <c r="J54" s="9">
        <v>0.86427883070992595</v>
      </c>
      <c r="K54" s="10">
        <v>0.13009155155798299</v>
      </c>
      <c r="L54" s="10">
        <v>0.46303006561551302</v>
      </c>
      <c r="M54" s="10">
        <v>-8.4337349397590494E-2</v>
      </c>
      <c r="N54" s="11">
        <v>0.8</v>
      </c>
      <c r="O54" s="11">
        <v>1</v>
      </c>
      <c r="P54" s="10">
        <v>0.46129999999999999</v>
      </c>
      <c r="Q54" s="12">
        <v>83.427012280259106</v>
      </c>
    </row>
    <row r="55" spans="1:17" ht="45" x14ac:dyDescent="0.2">
      <c r="A55" s="6">
        <v>43</v>
      </c>
      <c r="B55" s="7" t="s">
        <v>157</v>
      </c>
      <c r="C55" s="6" t="s">
        <v>158</v>
      </c>
      <c r="D55" s="6" t="s">
        <v>27</v>
      </c>
      <c r="E55" s="6">
        <v>2007</v>
      </c>
      <c r="F55" s="7" t="s">
        <v>159</v>
      </c>
      <c r="G55" s="6" t="s">
        <v>33</v>
      </c>
      <c r="H55" s="8">
        <v>446.2</v>
      </c>
      <c r="I55" s="8">
        <v>472.5</v>
      </c>
      <c r="J55" s="9">
        <v>0.94433862433862403</v>
      </c>
      <c r="K55" s="10">
        <v>0.107883597883598</v>
      </c>
      <c r="L55" s="10">
        <v>0.14231558995419399</v>
      </c>
      <c r="M55" s="10">
        <v>-0.115921787709497</v>
      </c>
      <c r="N55" s="11">
        <v>0.8</v>
      </c>
      <c r="O55" s="11">
        <v>1</v>
      </c>
      <c r="P55" s="10">
        <v>0.94</v>
      </c>
      <c r="Q55" s="12">
        <v>83.353821406888599</v>
      </c>
    </row>
    <row r="56" spans="1:17" ht="30" x14ac:dyDescent="0.2">
      <c r="A56" s="6">
        <v>44</v>
      </c>
      <c r="B56" s="7" t="s">
        <v>160</v>
      </c>
      <c r="C56" s="6" t="s">
        <v>161</v>
      </c>
      <c r="D56" s="6" t="s">
        <v>27</v>
      </c>
      <c r="E56" s="6">
        <v>1982</v>
      </c>
      <c r="F56" s="7" t="s">
        <v>162</v>
      </c>
      <c r="G56" s="6" t="s">
        <v>75</v>
      </c>
      <c r="H56" s="8">
        <v>88</v>
      </c>
      <c r="I56" s="8">
        <v>101.2</v>
      </c>
      <c r="J56" s="9">
        <v>0.86956521739130399</v>
      </c>
      <c r="K56" s="10">
        <v>7.5123517786561303E-2</v>
      </c>
      <c r="L56" s="10">
        <v>0.58454106280193197</v>
      </c>
      <c r="M56" s="10">
        <v>1.20481927710844E-2</v>
      </c>
      <c r="N56" s="11">
        <v>0.9</v>
      </c>
      <c r="O56" s="11">
        <v>0.88888888888888895</v>
      </c>
      <c r="P56" s="10">
        <v>0.81</v>
      </c>
      <c r="Q56" s="12">
        <v>83.318492801664803</v>
      </c>
    </row>
    <row r="57" spans="1:17" ht="30" x14ac:dyDescent="0.2">
      <c r="A57" s="6">
        <v>45</v>
      </c>
      <c r="B57" s="7" t="s">
        <v>163</v>
      </c>
      <c r="C57" s="6" t="s">
        <v>164</v>
      </c>
      <c r="D57" s="6" t="s">
        <v>27</v>
      </c>
      <c r="E57" s="6">
        <v>1989</v>
      </c>
      <c r="F57" s="7" t="s">
        <v>165</v>
      </c>
      <c r="G57" s="6" t="s">
        <v>75</v>
      </c>
      <c r="H57" s="8">
        <v>702.2</v>
      </c>
      <c r="I57" s="8">
        <v>1043.5</v>
      </c>
      <c r="J57" s="9">
        <v>0.67292764734068</v>
      </c>
      <c r="K57" s="10">
        <v>-6.5917585050311506E-2</v>
      </c>
      <c r="L57" s="10">
        <v>0.64822094546920705</v>
      </c>
      <c r="M57" s="10">
        <v>-3.1565656565656602E-2</v>
      </c>
      <c r="N57" s="11">
        <v>0.8</v>
      </c>
      <c r="O57" s="11">
        <v>1</v>
      </c>
      <c r="P57" s="10">
        <v>0.55500000000000005</v>
      </c>
      <c r="Q57" s="12">
        <v>83.184146218417894</v>
      </c>
    </row>
    <row r="58" spans="1:17" ht="30" x14ac:dyDescent="0.2">
      <c r="A58" s="6">
        <v>46</v>
      </c>
      <c r="B58" s="7" t="s">
        <v>166</v>
      </c>
      <c r="C58" s="6" t="s">
        <v>167</v>
      </c>
      <c r="D58" s="6" t="s">
        <v>27</v>
      </c>
      <c r="E58" s="6">
        <v>2000</v>
      </c>
      <c r="F58" s="7" t="s">
        <v>168</v>
      </c>
      <c r="G58" s="6" t="s">
        <v>46</v>
      </c>
      <c r="H58" s="8">
        <v>1092.5</v>
      </c>
      <c r="I58" s="8">
        <v>645</v>
      </c>
      <c r="J58" s="9">
        <v>1.6937984496123999</v>
      </c>
      <c r="K58" s="10">
        <v>2.9069767441860499E-2</v>
      </c>
      <c r="L58" s="10">
        <v>0.27770270270270297</v>
      </c>
      <c r="M58" s="10">
        <v>-0.108236895847515</v>
      </c>
      <c r="N58" s="11">
        <v>0.7</v>
      </c>
      <c r="O58" s="11">
        <v>0.9</v>
      </c>
      <c r="P58" s="10">
        <v>0.91400000000000003</v>
      </c>
      <c r="Q58" s="12">
        <v>83.124313260984806</v>
      </c>
    </row>
    <row r="59" spans="1:17" ht="30" x14ac:dyDescent="0.2">
      <c r="A59" s="6">
        <v>47</v>
      </c>
      <c r="B59" s="7" t="s">
        <v>169</v>
      </c>
      <c r="C59" s="6" t="s">
        <v>170</v>
      </c>
      <c r="D59" s="6" t="s">
        <v>27</v>
      </c>
      <c r="E59" s="6">
        <v>1993</v>
      </c>
      <c r="F59" s="7" t="s">
        <v>171</v>
      </c>
      <c r="G59" s="6" t="s">
        <v>75</v>
      </c>
      <c r="H59" s="8">
        <v>209.7</v>
      </c>
      <c r="I59" s="8">
        <v>558.70000000000005</v>
      </c>
      <c r="J59" s="9">
        <v>0.37533560050116299</v>
      </c>
      <c r="K59" s="10">
        <v>6.3316627886164295E-2</v>
      </c>
      <c r="L59" s="10">
        <v>23.5410094637224</v>
      </c>
      <c r="M59" s="10">
        <v>0.13793103448275901</v>
      </c>
      <c r="N59" s="11">
        <v>0.7</v>
      </c>
      <c r="O59" s="11">
        <v>0.7</v>
      </c>
      <c r="P59" s="10">
        <v>0.8</v>
      </c>
      <c r="Q59" s="12">
        <v>83.027586206896501</v>
      </c>
    </row>
    <row r="60" spans="1:17" ht="45" x14ac:dyDescent="0.2">
      <c r="A60" s="6">
        <v>48</v>
      </c>
      <c r="B60" s="7" t="s">
        <v>172</v>
      </c>
      <c r="C60" s="6" t="s">
        <v>173</v>
      </c>
      <c r="D60" s="6" t="s">
        <v>27</v>
      </c>
      <c r="E60" s="6">
        <v>1834</v>
      </c>
      <c r="F60" s="7" t="s">
        <v>174</v>
      </c>
      <c r="G60" s="6" t="s">
        <v>75</v>
      </c>
      <c r="H60" s="8">
        <v>582.4</v>
      </c>
      <c r="I60" s="8">
        <v>479.7</v>
      </c>
      <c r="J60" s="9">
        <v>1.21409214092141</v>
      </c>
      <c r="K60" s="10">
        <v>7.6454033771106905E-2</v>
      </c>
      <c r="L60" s="10">
        <v>0.74237288135593205</v>
      </c>
      <c r="M60" s="10">
        <v>2.32558139534885E-2</v>
      </c>
      <c r="N60" s="11">
        <v>1</v>
      </c>
      <c r="O60" s="11">
        <v>1</v>
      </c>
      <c r="P60" s="10">
        <v>0.85</v>
      </c>
      <c r="Q60" s="12">
        <v>82.965970702429104</v>
      </c>
    </row>
    <row r="61" spans="1:17" ht="30" x14ac:dyDescent="0.2">
      <c r="A61" s="6">
        <v>49</v>
      </c>
      <c r="B61" s="7" t="s">
        <v>175</v>
      </c>
      <c r="C61" s="6" t="s">
        <v>176</v>
      </c>
      <c r="D61" s="6" t="s">
        <v>27</v>
      </c>
      <c r="E61" s="6">
        <v>1892</v>
      </c>
      <c r="F61" s="7" t="s">
        <v>177</v>
      </c>
      <c r="G61" s="6" t="s">
        <v>75</v>
      </c>
      <c r="H61" s="8">
        <v>18.600000000000001</v>
      </c>
      <c r="I61" s="8">
        <v>32.1</v>
      </c>
      <c r="J61" s="9">
        <v>0.579439252336449</v>
      </c>
      <c r="K61" s="10">
        <v>2.4844236760124601E-2</v>
      </c>
      <c r="L61" s="10">
        <v>0.66200000000000003</v>
      </c>
      <c r="M61" s="10">
        <v>-0.15702479338843001</v>
      </c>
      <c r="N61" s="11">
        <v>0.9</v>
      </c>
      <c r="O61" s="11">
        <v>0.83333333333333304</v>
      </c>
      <c r="P61" s="10">
        <v>0.82299999999999995</v>
      </c>
      <c r="Q61" s="12">
        <v>82.615779245770298</v>
      </c>
    </row>
    <row r="62" spans="1:17" ht="30" x14ac:dyDescent="0.2">
      <c r="A62" s="6">
        <v>50</v>
      </c>
      <c r="B62" s="7" t="s">
        <v>178</v>
      </c>
      <c r="C62" s="6" t="s">
        <v>179</v>
      </c>
      <c r="D62" s="6" t="s">
        <v>27</v>
      </c>
      <c r="E62" s="6">
        <v>1994</v>
      </c>
      <c r="F62" s="7" t="s">
        <v>180</v>
      </c>
      <c r="G62" s="6" t="s">
        <v>75</v>
      </c>
      <c r="H62" s="8">
        <v>1034.5</v>
      </c>
      <c r="I62" s="8">
        <v>695.7</v>
      </c>
      <c r="J62" s="9">
        <v>1.4869915193330501</v>
      </c>
      <c r="K62" s="10">
        <v>7.3278712088543904E-2</v>
      </c>
      <c r="L62" s="10">
        <v>0.58441602267741999</v>
      </c>
      <c r="M62" s="10">
        <v>0.103578154425612</v>
      </c>
      <c r="N62" s="11">
        <v>0.8</v>
      </c>
      <c r="O62" s="11">
        <v>1</v>
      </c>
      <c r="P62" s="10">
        <v>0.47670000000000001</v>
      </c>
      <c r="Q62" s="12">
        <v>82.081537159419099</v>
      </c>
    </row>
    <row r="63" spans="1:17" ht="30" x14ac:dyDescent="0.2">
      <c r="A63" s="6">
        <v>51</v>
      </c>
      <c r="B63" s="7" t="s">
        <v>181</v>
      </c>
      <c r="C63" s="6" t="s">
        <v>182</v>
      </c>
      <c r="D63" s="6" t="s">
        <v>52</v>
      </c>
      <c r="E63" s="6">
        <v>1989</v>
      </c>
      <c r="F63" s="7" t="s">
        <v>183</v>
      </c>
      <c r="G63" s="6" t="s">
        <v>29</v>
      </c>
      <c r="H63" s="8">
        <v>23.7</v>
      </c>
      <c r="I63" s="8">
        <v>7.7</v>
      </c>
      <c r="J63" s="9">
        <v>3.0779220779220799</v>
      </c>
      <c r="K63" s="10">
        <v>0.17694805194805199</v>
      </c>
      <c r="L63" s="10">
        <v>2.14525139664805</v>
      </c>
      <c r="M63" s="10">
        <v>1.0989010989011E-2</v>
      </c>
      <c r="N63" s="11">
        <v>0.9</v>
      </c>
      <c r="O63" s="11">
        <v>0.9</v>
      </c>
      <c r="P63" s="10">
        <v>0.64</v>
      </c>
      <c r="Q63" s="12">
        <v>81.858257199205696</v>
      </c>
    </row>
    <row r="64" spans="1:17" ht="30" x14ac:dyDescent="0.2">
      <c r="A64" s="6">
        <v>52</v>
      </c>
      <c r="B64" s="7" t="s">
        <v>184</v>
      </c>
      <c r="C64" s="6" t="s">
        <v>185</v>
      </c>
      <c r="D64" s="6" t="s">
        <v>27</v>
      </c>
      <c r="E64" s="6">
        <v>1978</v>
      </c>
      <c r="F64" s="7" t="s">
        <v>186</v>
      </c>
      <c r="G64" s="6" t="s">
        <v>29</v>
      </c>
      <c r="H64" s="8">
        <v>482.1</v>
      </c>
      <c r="I64" s="8">
        <v>649</v>
      </c>
      <c r="J64" s="9">
        <v>0.74283513097072396</v>
      </c>
      <c r="K64" s="10">
        <v>0.12361325115562399</v>
      </c>
      <c r="L64" s="10">
        <v>0.143513891665001</v>
      </c>
      <c r="M64" s="10">
        <v>-0.25474254742547398</v>
      </c>
      <c r="N64" s="11">
        <v>1</v>
      </c>
      <c r="O64" s="11">
        <v>1</v>
      </c>
      <c r="P64" s="10">
        <v>0.34</v>
      </c>
      <c r="Q64" s="12">
        <v>81.734333374653403</v>
      </c>
    </row>
    <row r="65" spans="1:17" ht="30" x14ac:dyDescent="0.2">
      <c r="A65" s="6">
        <v>53</v>
      </c>
      <c r="B65" s="7" t="s">
        <v>187</v>
      </c>
      <c r="C65" s="6" t="s">
        <v>188</v>
      </c>
      <c r="D65" s="6" t="s">
        <v>27</v>
      </c>
      <c r="E65" s="6">
        <v>1885</v>
      </c>
      <c r="F65" s="7" t="s">
        <v>189</v>
      </c>
      <c r="G65" s="6" t="s">
        <v>75</v>
      </c>
      <c r="H65" s="8">
        <v>122.2</v>
      </c>
      <c r="I65" s="8">
        <v>106.8</v>
      </c>
      <c r="J65" s="9">
        <v>1.14419475655431</v>
      </c>
      <c r="K65" s="10">
        <v>3.8366104868913897E-2</v>
      </c>
      <c r="L65" s="10">
        <v>0.42666666666666703</v>
      </c>
      <c r="M65" s="10">
        <v>0.10479573712255801</v>
      </c>
      <c r="N65" s="11">
        <v>0.9</v>
      </c>
      <c r="O65" s="11">
        <v>1</v>
      </c>
      <c r="P65" s="10">
        <v>0.85</v>
      </c>
      <c r="Q65" s="12">
        <v>81.523591922505901</v>
      </c>
    </row>
    <row r="66" spans="1:17" ht="45" x14ac:dyDescent="0.2">
      <c r="A66" s="6">
        <v>54</v>
      </c>
      <c r="B66" s="7" t="s">
        <v>190</v>
      </c>
      <c r="C66" s="6" t="s">
        <v>191</v>
      </c>
      <c r="D66" s="6" t="s">
        <v>27</v>
      </c>
      <c r="E66" s="6">
        <v>1920</v>
      </c>
      <c r="F66" s="7" t="s">
        <v>192</v>
      </c>
      <c r="G66" s="6" t="s">
        <v>46</v>
      </c>
      <c r="H66" s="8">
        <v>161</v>
      </c>
      <c r="I66" s="8">
        <v>192.8</v>
      </c>
      <c r="J66" s="9">
        <v>0.8350622406639</v>
      </c>
      <c r="K66" s="10">
        <v>-5.4849585062240703E-3</v>
      </c>
      <c r="L66" s="10">
        <v>1.2414885193982601</v>
      </c>
      <c r="M66" s="10">
        <v>2.68456375838926E-2</v>
      </c>
      <c r="N66" s="11">
        <v>0.9</v>
      </c>
      <c r="O66" s="11">
        <v>0.9</v>
      </c>
      <c r="P66" s="10">
        <v>0.26100000000000001</v>
      </c>
      <c r="Q66" s="12">
        <v>80.9762150368433</v>
      </c>
    </row>
    <row r="67" spans="1:17" ht="30" x14ac:dyDescent="0.2">
      <c r="A67" s="6">
        <v>55</v>
      </c>
      <c r="B67" s="7" t="s">
        <v>193</v>
      </c>
      <c r="C67" s="6" t="s">
        <v>194</v>
      </c>
      <c r="D67" s="6" t="s">
        <v>27</v>
      </c>
      <c r="E67" s="6">
        <v>1965</v>
      </c>
      <c r="F67" s="7" t="s">
        <v>195</v>
      </c>
      <c r="G67" s="6" t="s">
        <v>33</v>
      </c>
      <c r="H67" s="8">
        <v>75.400000000000006</v>
      </c>
      <c r="I67" s="8">
        <v>113.1</v>
      </c>
      <c r="J67" s="9">
        <v>0.66666666666666696</v>
      </c>
      <c r="K67" s="10">
        <v>6.8346595932802803E-2</v>
      </c>
      <c r="L67" s="10">
        <v>1.5184405803522001</v>
      </c>
      <c r="M67" s="10">
        <v>-0.120910384068279</v>
      </c>
      <c r="N67" s="11">
        <v>1</v>
      </c>
      <c r="O67" s="11">
        <v>0.8</v>
      </c>
      <c r="P67" s="10">
        <v>7.1999999999999995E-2</v>
      </c>
      <c r="Q67" s="12">
        <v>80.606928322152498</v>
      </c>
    </row>
    <row r="68" spans="1:17" ht="30" x14ac:dyDescent="0.2">
      <c r="A68" s="6">
        <v>56</v>
      </c>
      <c r="B68" s="7" t="s">
        <v>196</v>
      </c>
      <c r="C68" s="6" t="s">
        <v>197</v>
      </c>
      <c r="D68" s="6" t="s">
        <v>27</v>
      </c>
      <c r="E68" s="6">
        <v>1950</v>
      </c>
      <c r="F68" s="7" t="s">
        <v>198</v>
      </c>
      <c r="G68" s="6" t="s">
        <v>29</v>
      </c>
      <c r="H68" s="8">
        <v>30</v>
      </c>
      <c r="I68" s="8">
        <v>11.9</v>
      </c>
      <c r="J68" s="9">
        <v>2.52100840336134</v>
      </c>
      <c r="K68" s="10">
        <v>0.23067226890756301</v>
      </c>
      <c r="L68" s="10">
        <v>3.5897435897435902E-2</v>
      </c>
      <c r="M68" s="10">
        <v>0</v>
      </c>
      <c r="N68" s="11">
        <v>1</v>
      </c>
      <c r="O68" s="11">
        <v>1</v>
      </c>
      <c r="P68" s="10">
        <v>0.5</v>
      </c>
      <c r="Q68" s="12">
        <v>80.553988645966399</v>
      </c>
    </row>
    <row r="69" spans="1:17" ht="45" x14ac:dyDescent="0.2">
      <c r="A69" s="6">
        <v>57</v>
      </c>
      <c r="B69" s="7" t="s">
        <v>199</v>
      </c>
      <c r="C69" s="6" t="s">
        <v>200</v>
      </c>
      <c r="D69" s="6" t="s">
        <v>27</v>
      </c>
      <c r="E69" s="6">
        <v>1919</v>
      </c>
      <c r="F69" s="7" t="s">
        <v>201</v>
      </c>
      <c r="G69" s="6" t="s">
        <v>46</v>
      </c>
      <c r="H69" s="8">
        <v>805.7</v>
      </c>
      <c r="I69" s="8">
        <v>698.3</v>
      </c>
      <c r="J69" s="9">
        <v>1.15380209079192</v>
      </c>
      <c r="K69" s="10">
        <v>5.6673349563224999E-2</v>
      </c>
      <c r="L69" s="10">
        <v>0.692205951818611</v>
      </c>
      <c r="M69" s="10">
        <v>-2.5974025974026E-2</v>
      </c>
      <c r="N69" s="11">
        <v>1</v>
      </c>
      <c r="O69" s="11">
        <v>0.9</v>
      </c>
      <c r="P69" s="10">
        <v>0.31900000000000001</v>
      </c>
      <c r="Q69" s="12">
        <v>80.512312538793793</v>
      </c>
    </row>
    <row r="70" spans="1:17" ht="30" x14ac:dyDescent="0.2">
      <c r="A70" s="6">
        <v>58</v>
      </c>
      <c r="B70" s="7" t="s">
        <v>202</v>
      </c>
      <c r="C70" s="6" t="s">
        <v>203</v>
      </c>
      <c r="D70" s="6" t="s">
        <v>27</v>
      </c>
      <c r="E70" s="6">
        <v>1986</v>
      </c>
      <c r="F70" s="7" t="s">
        <v>204</v>
      </c>
      <c r="G70" s="6" t="s">
        <v>46</v>
      </c>
      <c r="H70" s="8">
        <v>819.5</v>
      </c>
      <c r="I70" s="8">
        <v>46</v>
      </c>
      <c r="J70" s="9">
        <v>17.815217391304401</v>
      </c>
      <c r="K70" s="10">
        <v>2.35869565217391</v>
      </c>
      <c r="L70" s="10">
        <v>1.31598272872539</v>
      </c>
      <c r="M70" s="10">
        <v>-9.0909090909090801E-2</v>
      </c>
      <c r="N70" s="11">
        <v>0.9</v>
      </c>
      <c r="O70" s="11">
        <v>0.9</v>
      </c>
      <c r="P70" s="10">
        <v>0.1449</v>
      </c>
      <c r="Q70" s="12">
        <v>80.467405859613294</v>
      </c>
    </row>
    <row r="71" spans="1:17" ht="30" x14ac:dyDescent="0.2">
      <c r="A71" s="6">
        <v>59</v>
      </c>
      <c r="B71" s="7" t="s">
        <v>205</v>
      </c>
      <c r="C71" s="6" t="s">
        <v>206</v>
      </c>
      <c r="D71" s="6" t="s">
        <v>52</v>
      </c>
      <c r="E71" s="6">
        <v>1899</v>
      </c>
      <c r="F71" s="7" t="s">
        <v>207</v>
      </c>
      <c r="G71" s="6" t="s">
        <v>33</v>
      </c>
      <c r="H71" s="8">
        <v>605.9</v>
      </c>
      <c r="I71" s="8">
        <v>735.4</v>
      </c>
      <c r="J71" s="9">
        <v>0.82390535762850203</v>
      </c>
      <c r="K71" s="10">
        <v>0.108580364427522</v>
      </c>
      <c r="L71" s="10">
        <v>0.904941660947152</v>
      </c>
      <c r="M71" s="10">
        <v>4.3701799485861302E-2</v>
      </c>
      <c r="N71" s="11">
        <v>1</v>
      </c>
      <c r="O71" s="11">
        <v>1</v>
      </c>
      <c r="P71" s="10">
        <v>0.10299999999999999</v>
      </c>
      <c r="Q71" s="12">
        <v>80.4487187870496</v>
      </c>
    </row>
    <row r="72" spans="1:17" ht="30" x14ac:dyDescent="0.2">
      <c r="A72" s="6">
        <v>60</v>
      </c>
      <c r="B72" s="7" t="s">
        <v>208</v>
      </c>
      <c r="C72" s="6" t="s">
        <v>209</v>
      </c>
      <c r="D72" s="6" t="s">
        <v>52</v>
      </c>
      <c r="E72" s="6">
        <v>1977</v>
      </c>
      <c r="F72" s="7" t="s">
        <v>210</v>
      </c>
      <c r="G72" s="6" t="s">
        <v>33</v>
      </c>
      <c r="H72" s="8">
        <v>64.7</v>
      </c>
      <c r="I72" s="8">
        <v>78.900000000000006</v>
      </c>
      <c r="J72" s="9">
        <v>0.82002534854245901</v>
      </c>
      <c r="K72" s="10">
        <v>0.109980988593156</v>
      </c>
      <c r="L72" s="10">
        <v>0.67698744769874497</v>
      </c>
      <c r="M72" s="10">
        <v>-0.143356643356643</v>
      </c>
      <c r="N72" s="11">
        <v>0.8</v>
      </c>
      <c r="O72" s="11">
        <v>1</v>
      </c>
      <c r="P72" s="10">
        <v>0.26500000000000001</v>
      </c>
      <c r="Q72" s="12">
        <v>80.189818928605803</v>
      </c>
    </row>
    <row r="73" spans="1:17" ht="30" x14ac:dyDescent="0.2">
      <c r="A73" s="6">
        <v>61</v>
      </c>
      <c r="B73" s="7" t="s">
        <v>211</v>
      </c>
      <c r="C73" s="6" t="s">
        <v>212</v>
      </c>
      <c r="D73" s="6" t="s">
        <v>27</v>
      </c>
      <c r="E73" s="6">
        <v>1957</v>
      </c>
      <c r="F73" s="7" t="s">
        <v>213</v>
      </c>
      <c r="G73" s="6" t="s">
        <v>33</v>
      </c>
      <c r="H73" s="8">
        <v>28.7</v>
      </c>
      <c r="I73" s="8">
        <v>39.6</v>
      </c>
      <c r="J73" s="9">
        <v>0.72474747474747503</v>
      </c>
      <c r="K73" s="10">
        <v>3.2828282828282797E-2</v>
      </c>
      <c r="L73" s="10">
        <v>0.12754409769335101</v>
      </c>
      <c r="M73" s="10">
        <v>0.06</v>
      </c>
      <c r="N73" s="11">
        <v>0.9</v>
      </c>
      <c r="O73" s="11">
        <v>1</v>
      </c>
      <c r="P73" s="10">
        <v>0.40570000000000001</v>
      </c>
      <c r="Q73" s="12">
        <v>80.154884236817693</v>
      </c>
    </row>
    <row r="74" spans="1:17" ht="30" x14ac:dyDescent="0.2">
      <c r="A74" s="6">
        <v>62</v>
      </c>
      <c r="B74" s="7" t="s">
        <v>214</v>
      </c>
      <c r="C74" s="6" t="s">
        <v>215</v>
      </c>
      <c r="D74" s="6" t="s">
        <v>27</v>
      </c>
      <c r="E74" s="6"/>
      <c r="F74" s="7" t="s">
        <v>216</v>
      </c>
      <c r="G74" s="6" t="s">
        <v>29</v>
      </c>
      <c r="H74" s="8">
        <v>156.6</v>
      </c>
      <c r="I74" s="8">
        <v>71.8</v>
      </c>
      <c r="J74" s="9">
        <v>2.1810584958217301</v>
      </c>
      <c r="K74" s="10">
        <v>0.22033426183843999</v>
      </c>
      <c r="L74" s="10">
        <v>2.0035087719298299</v>
      </c>
      <c r="M74" s="10">
        <v>2.4242424242424201E-2</v>
      </c>
      <c r="N74" s="11">
        <v>0.9</v>
      </c>
      <c r="O74" s="11">
        <v>1</v>
      </c>
      <c r="P74" s="10">
        <v>0.33100000000000002</v>
      </c>
      <c r="Q74" s="12">
        <v>80.091550768733597</v>
      </c>
    </row>
    <row r="75" spans="1:17" ht="30" x14ac:dyDescent="0.2">
      <c r="A75" s="6">
        <v>63</v>
      </c>
      <c r="B75" s="7" t="s">
        <v>217</v>
      </c>
      <c r="C75" s="6" t="s">
        <v>218</v>
      </c>
      <c r="D75" s="6" t="s">
        <v>27</v>
      </c>
      <c r="E75" s="6"/>
      <c r="F75" s="7" t="s">
        <v>219</v>
      </c>
      <c r="G75" s="6" t="s">
        <v>46</v>
      </c>
      <c r="H75" s="8">
        <v>395.9</v>
      </c>
      <c r="I75" s="8">
        <v>341.3</v>
      </c>
      <c r="J75" s="9">
        <v>1.15997656021096</v>
      </c>
      <c r="K75" s="10">
        <v>8.1673014942865496E-2</v>
      </c>
      <c r="L75" s="10">
        <v>0.34317343173431702</v>
      </c>
      <c r="M75" s="10">
        <v>3.5353535353535297E-2</v>
      </c>
      <c r="N75" s="11">
        <v>1</v>
      </c>
      <c r="O75" s="11">
        <v>0.9</v>
      </c>
      <c r="P75" s="10">
        <v>0.70930232559999995</v>
      </c>
      <c r="Q75" s="12">
        <v>80.080504175092301</v>
      </c>
    </row>
    <row r="76" spans="1:17" ht="30" x14ac:dyDescent="0.2">
      <c r="A76" s="6">
        <v>64</v>
      </c>
      <c r="B76" s="7" t="s">
        <v>220</v>
      </c>
      <c r="C76" s="6" t="s">
        <v>221</v>
      </c>
      <c r="D76" s="6" t="s">
        <v>52</v>
      </c>
      <c r="E76" s="6"/>
      <c r="F76" s="7" t="s">
        <v>222</v>
      </c>
      <c r="G76" s="6" t="s">
        <v>46</v>
      </c>
      <c r="H76" s="8">
        <v>341</v>
      </c>
      <c r="I76" s="8">
        <v>69.5</v>
      </c>
      <c r="J76" s="9">
        <v>4.9064748201438899</v>
      </c>
      <c r="K76" s="10">
        <v>9.4086330935251802E-2</v>
      </c>
      <c r="L76" s="10">
        <v>1.1095679012345701</v>
      </c>
      <c r="M76" s="10">
        <v>0.144144144144144</v>
      </c>
      <c r="N76" s="11">
        <v>1</v>
      </c>
      <c r="O76" s="11">
        <v>0.9</v>
      </c>
      <c r="P76" s="10">
        <v>0.71</v>
      </c>
      <c r="Q76" s="12">
        <v>80.050294644928101</v>
      </c>
    </row>
    <row r="77" spans="1:17" ht="45" x14ac:dyDescent="0.2">
      <c r="A77" s="6">
        <v>65</v>
      </c>
      <c r="B77" s="7" t="s">
        <v>223</v>
      </c>
      <c r="C77" s="6" t="s">
        <v>224</v>
      </c>
      <c r="D77" s="6" t="s">
        <v>52</v>
      </c>
      <c r="E77" s="6">
        <v>2006</v>
      </c>
      <c r="F77" s="7" t="s">
        <v>225</v>
      </c>
      <c r="G77" s="6" t="s">
        <v>29</v>
      </c>
      <c r="H77" s="8">
        <v>131.9</v>
      </c>
      <c r="I77" s="8">
        <v>24.3</v>
      </c>
      <c r="J77" s="9">
        <v>5.42798353909465</v>
      </c>
      <c r="K77" s="10">
        <v>0.211111111111111</v>
      </c>
      <c r="L77" s="10">
        <v>1.3671875</v>
      </c>
      <c r="M77" s="10">
        <v>-0.2</v>
      </c>
      <c r="N77" s="11">
        <v>1</v>
      </c>
      <c r="O77" s="11">
        <v>1</v>
      </c>
      <c r="P77" s="10">
        <v>0.84499999999999997</v>
      </c>
      <c r="Q77" s="12">
        <v>79.602445966709297</v>
      </c>
    </row>
    <row r="78" spans="1:17" ht="30" x14ac:dyDescent="0.2">
      <c r="A78" s="6">
        <v>66</v>
      </c>
      <c r="B78" s="7" t="s">
        <v>226</v>
      </c>
      <c r="C78" s="6" t="s">
        <v>227</v>
      </c>
      <c r="D78" s="6" t="s">
        <v>27</v>
      </c>
      <c r="E78" s="6">
        <v>1969</v>
      </c>
      <c r="F78" s="7" t="s">
        <v>228</v>
      </c>
      <c r="G78" s="6" t="s">
        <v>46</v>
      </c>
      <c r="H78" s="8">
        <v>617.79999999999995</v>
      </c>
      <c r="I78" s="8">
        <v>461.7</v>
      </c>
      <c r="J78" s="9">
        <v>1.3380983322503801</v>
      </c>
      <c r="K78" s="10">
        <v>0.121231319038337</v>
      </c>
      <c r="L78" s="10">
        <v>0.14779401721076399</v>
      </c>
      <c r="M78" s="10">
        <v>-7.4688796680498007E-2</v>
      </c>
      <c r="N78" s="11">
        <v>0.9</v>
      </c>
      <c r="O78" s="11">
        <v>1</v>
      </c>
      <c r="P78" s="10">
        <v>0.25600000000000001</v>
      </c>
      <c r="Q78" s="12">
        <v>79.420389847748197</v>
      </c>
    </row>
    <row r="79" spans="1:17" ht="30" x14ac:dyDescent="0.2">
      <c r="A79" s="6">
        <v>67</v>
      </c>
      <c r="B79" s="7" t="s">
        <v>229</v>
      </c>
      <c r="C79" s="6" t="s">
        <v>230</v>
      </c>
      <c r="D79" s="6" t="s">
        <v>27</v>
      </c>
      <c r="E79" s="6">
        <v>1982</v>
      </c>
      <c r="F79" s="7" t="s">
        <v>231</v>
      </c>
      <c r="G79" s="6" t="s">
        <v>29</v>
      </c>
      <c r="H79" s="8">
        <v>196.9</v>
      </c>
      <c r="I79" s="8">
        <v>43.2</v>
      </c>
      <c r="J79" s="9">
        <v>4.5578703703703702</v>
      </c>
      <c r="K79" s="10">
        <v>0.126041666666667</v>
      </c>
      <c r="L79" s="10">
        <v>1.9194915254237299</v>
      </c>
      <c r="M79" s="10">
        <v>4.6539379474940197E-2</v>
      </c>
      <c r="N79" s="11">
        <v>1</v>
      </c>
      <c r="O79" s="11">
        <v>0.9</v>
      </c>
      <c r="P79" s="10">
        <v>0.58099999999999996</v>
      </c>
      <c r="Q79" s="12">
        <v>79.249788129062097</v>
      </c>
    </row>
    <row r="80" spans="1:17" ht="30" x14ac:dyDescent="0.2">
      <c r="A80" s="6">
        <v>68</v>
      </c>
      <c r="B80" s="7" t="s">
        <v>232</v>
      </c>
      <c r="C80" s="6" t="s">
        <v>233</v>
      </c>
      <c r="D80" s="6" t="s">
        <v>27</v>
      </c>
      <c r="E80" s="6">
        <v>1985</v>
      </c>
      <c r="F80" s="7" t="s">
        <v>234</v>
      </c>
      <c r="G80" s="6" t="s">
        <v>46</v>
      </c>
      <c r="H80" s="8">
        <v>1134.5</v>
      </c>
      <c r="I80" s="8">
        <v>725.5</v>
      </c>
      <c r="J80" s="9">
        <v>1.5637491385251601</v>
      </c>
      <c r="K80" s="10">
        <v>9.3604410751206096E-2</v>
      </c>
      <c r="L80" s="10">
        <v>2.53132708436112</v>
      </c>
      <c r="M80" s="10">
        <v>4.6199701937406801E-2</v>
      </c>
      <c r="N80" s="11">
        <v>1</v>
      </c>
      <c r="O80" s="11">
        <v>1</v>
      </c>
      <c r="P80" s="10">
        <v>0.313</v>
      </c>
      <c r="Q80" s="12">
        <v>79.072675009296503</v>
      </c>
    </row>
    <row r="81" spans="1:17" ht="45" x14ac:dyDescent="0.2">
      <c r="A81" s="6">
        <v>69</v>
      </c>
      <c r="B81" s="7" t="s">
        <v>235</v>
      </c>
      <c r="C81" s="6" t="s">
        <v>236</v>
      </c>
      <c r="D81" s="6" t="s">
        <v>27</v>
      </c>
      <c r="E81" s="6">
        <v>1983</v>
      </c>
      <c r="F81" s="7" t="s">
        <v>237</v>
      </c>
      <c r="G81" s="6" t="s">
        <v>46</v>
      </c>
      <c r="H81" s="8">
        <v>119.9</v>
      </c>
      <c r="I81" s="8">
        <v>126.5</v>
      </c>
      <c r="J81" s="9">
        <v>0.94782608695652204</v>
      </c>
      <c r="K81" s="10">
        <v>-0.198221343873518</v>
      </c>
      <c r="L81" s="10">
        <v>0.217111315547378</v>
      </c>
      <c r="M81" s="10">
        <v>3.8251366120218497E-2</v>
      </c>
      <c r="N81" s="11">
        <v>0.7</v>
      </c>
      <c r="O81" s="11">
        <v>0.9</v>
      </c>
      <c r="P81" s="10">
        <v>0.56899999999999995</v>
      </c>
      <c r="Q81" s="12">
        <v>79.021739266860195</v>
      </c>
    </row>
    <row r="82" spans="1:17" ht="30" x14ac:dyDescent="0.2">
      <c r="A82" s="6">
        <v>70</v>
      </c>
      <c r="B82" s="7" t="s">
        <v>238</v>
      </c>
      <c r="C82" s="6" t="s">
        <v>239</v>
      </c>
      <c r="D82" s="6" t="s">
        <v>27</v>
      </c>
      <c r="E82" s="6">
        <v>1878</v>
      </c>
      <c r="F82" s="7" t="s">
        <v>240</v>
      </c>
      <c r="G82" s="6" t="s">
        <v>46</v>
      </c>
      <c r="H82" s="8">
        <v>345.4</v>
      </c>
      <c r="I82" s="8">
        <v>1246.0999999999999</v>
      </c>
      <c r="J82" s="9">
        <v>0.27718481662787903</v>
      </c>
      <c r="K82" s="10">
        <v>-0.141762298370917</v>
      </c>
      <c r="L82" s="10">
        <v>1.45923384791309</v>
      </c>
      <c r="M82" s="10">
        <v>5.2631578947368501E-2</v>
      </c>
      <c r="N82" s="11">
        <v>0.6</v>
      </c>
      <c r="O82" s="11">
        <v>0.9</v>
      </c>
      <c r="P82" s="10">
        <v>0.39900000000000002</v>
      </c>
      <c r="Q82" s="12">
        <v>78.661892110133493</v>
      </c>
    </row>
    <row r="83" spans="1:17" ht="30" x14ac:dyDescent="0.2">
      <c r="A83" s="6">
        <v>71</v>
      </c>
      <c r="B83" s="7" t="s">
        <v>241</v>
      </c>
      <c r="C83" s="6" t="s">
        <v>242</v>
      </c>
      <c r="D83" s="6" t="s">
        <v>27</v>
      </c>
      <c r="E83" s="6">
        <v>1881</v>
      </c>
      <c r="F83" s="7" t="s">
        <v>243</v>
      </c>
      <c r="G83" s="6" t="s">
        <v>33</v>
      </c>
      <c r="H83" s="8">
        <v>140</v>
      </c>
      <c r="I83" s="8">
        <v>161.1</v>
      </c>
      <c r="J83" s="9">
        <v>0.86902545003103704</v>
      </c>
      <c r="K83" s="10">
        <v>9.9162011173184406E-2</v>
      </c>
      <c r="L83" s="10">
        <v>1.3795013850415501</v>
      </c>
      <c r="M83" s="10">
        <v>-5.2631578947368897E-3</v>
      </c>
      <c r="N83" s="11">
        <v>1</v>
      </c>
      <c r="O83" s="11">
        <v>1</v>
      </c>
      <c r="P83" s="10">
        <v>0</v>
      </c>
      <c r="Q83" s="12">
        <v>78.646224558511406</v>
      </c>
    </row>
    <row r="84" spans="1:17" ht="30" x14ac:dyDescent="0.2">
      <c r="A84" s="6">
        <v>72</v>
      </c>
      <c r="B84" s="7" t="s">
        <v>244</v>
      </c>
      <c r="C84" s="6" t="s">
        <v>245</v>
      </c>
      <c r="D84" s="6" t="s">
        <v>27</v>
      </c>
      <c r="E84" s="6">
        <v>1987</v>
      </c>
      <c r="F84" s="7" t="s">
        <v>246</v>
      </c>
      <c r="G84" s="6" t="s">
        <v>33</v>
      </c>
      <c r="H84" s="8">
        <v>290.5</v>
      </c>
      <c r="I84" s="8">
        <v>373.1</v>
      </c>
      <c r="J84" s="9">
        <v>0.77861163227016905</v>
      </c>
      <c r="K84" s="10">
        <v>0.10238541945859</v>
      </c>
      <c r="L84" s="10">
        <v>1.7105034722222201</v>
      </c>
      <c r="M84" s="10">
        <v>-0.175206611570248</v>
      </c>
      <c r="N84" s="11">
        <v>1</v>
      </c>
      <c r="O84" s="11">
        <v>1</v>
      </c>
      <c r="P84" s="10">
        <v>0</v>
      </c>
      <c r="Q84" s="12">
        <v>78.337188358237299</v>
      </c>
    </row>
    <row r="85" spans="1:17" ht="45" x14ac:dyDescent="0.2">
      <c r="A85" s="6">
        <v>73</v>
      </c>
      <c r="B85" s="7" t="s">
        <v>247</v>
      </c>
      <c r="C85" s="6" t="s">
        <v>248</v>
      </c>
      <c r="D85" s="6" t="s">
        <v>27</v>
      </c>
      <c r="E85" s="6">
        <v>1999</v>
      </c>
      <c r="F85" s="7" t="s">
        <v>249</v>
      </c>
      <c r="G85" s="6" t="s">
        <v>46</v>
      </c>
      <c r="H85" s="8">
        <v>591.79999999999995</v>
      </c>
      <c r="I85" s="8">
        <v>890.2</v>
      </c>
      <c r="J85" s="9">
        <v>0.66479442821837798</v>
      </c>
      <c r="K85" s="10">
        <v>-1.53560997528645E-2</v>
      </c>
      <c r="L85" s="10">
        <v>1.89302649930265</v>
      </c>
      <c r="M85" s="10">
        <v>8.4645669291338696E-2</v>
      </c>
      <c r="N85" s="11">
        <v>0.8</v>
      </c>
      <c r="O85" s="11">
        <v>1</v>
      </c>
      <c r="P85" s="10">
        <v>0.26300000000000001</v>
      </c>
      <c r="Q85" s="12">
        <v>78.271995523159106</v>
      </c>
    </row>
    <row r="86" spans="1:17" ht="30" x14ac:dyDescent="0.2">
      <c r="A86" s="6">
        <v>74</v>
      </c>
      <c r="B86" s="7" t="s">
        <v>250</v>
      </c>
      <c r="C86" s="6" t="s">
        <v>251</v>
      </c>
      <c r="D86" s="6" t="s">
        <v>52</v>
      </c>
      <c r="E86" s="6">
        <v>2008</v>
      </c>
      <c r="F86" s="7" t="s">
        <v>252</v>
      </c>
      <c r="G86" s="6" t="s">
        <v>33</v>
      </c>
      <c r="H86" s="8">
        <v>227.4</v>
      </c>
      <c r="I86" s="8">
        <v>262.39999999999998</v>
      </c>
      <c r="J86" s="9">
        <v>0.86661585365853699</v>
      </c>
      <c r="K86" s="10">
        <v>9.4607469512195105E-2</v>
      </c>
      <c r="L86" s="10">
        <v>0.102608695652174</v>
      </c>
      <c r="M86" s="10">
        <v>8.9820359281437098E-2</v>
      </c>
      <c r="N86" s="11">
        <v>1</v>
      </c>
      <c r="O86" s="11">
        <v>0.9</v>
      </c>
      <c r="P86" s="10">
        <v>0.31</v>
      </c>
      <c r="Q86" s="12">
        <v>78.101016978134894</v>
      </c>
    </row>
    <row r="87" spans="1:17" ht="30" x14ac:dyDescent="0.2">
      <c r="A87" s="6">
        <v>75</v>
      </c>
      <c r="B87" s="7" t="s">
        <v>253</v>
      </c>
      <c r="C87" s="6" t="s">
        <v>254</v>
      </c>
      <c r="D87" s="6" t="s">
        <v>27</v>
      </c>
      <c r="E87" s="6"/>
      <c r="F87" s="7" t="s">
        <v>255</v>
      </c>
      <c r="G87" s="6" t="s">
        <v>29</v>
      </c>
      <c r="H87" s="8">
        <v>266</v>
      </c>
      <c r="I87" s="8">
        <v>281.8</v>
      </c>
      <c r="J87" s="9">
        <v>0.94393186657203698</v>
      </c>
      <c r="K87" s="10">
        <v>0.18383605393896399</v>
      </c>
      <c r="L87" s="10">
        <v>6.7850418989257505E-2</v>
      </c>
      <c r="M87" s="10">
        <v>-0.41746411483253598</v>
      </c>
      <c r="N87" s="11">
        <v>0.7</v>
      </c>
      <c r="O87" s="11">
        <v>0.8</v>
      </c>
      <c r="P87" s="10">
        <v>0.41399999999999998</v>
      </c>
      <c r="Q87" s="12">
        <v>78.090942012951601</v>
      </c>
    </row>
    <row r="88" spans="1:17" ht="30" x14ac:dyDescent="0.2">
      <c r="A88" s="6">
        <v>76</v>
      </c>
      <c r="B88" s="7" t="s">
        <v>256</v>
      </c>
      <c r="C88" s="6" t="s">
        <v>257</v>
      </c>
      <c r="D88" s="6" t="s">
        <v>27</v>
      </c>
      <c r="E88" s="6"/>
      <c r="F88" s="7" t="s">
        <v>258</v>
      </c>
      <c r="G88" s="6" t="s">
        <v>29</v>
      </c>
      <c r="H88" s="8">
        <v>711.3</v>
      </c>
      <c r="I88" s="8">
        <v>487.9</v>
      </c>
      <c r="J88" s="9">
        <v>1.45788071326091</v>
      </c>
      <c r="K88" s="10">
        <v>0.158844025415044</v>
      </c>
      <c r="L88" s="10">
        <v>0.31667607754564298</v>
      </c>
      <c r="M88" s="10">
        <v>-0.25517241379310301</v>
      </c>
      <c r="N88" s="11">
        <v>0.9</v>
      </c>
      <c r="O88" s="11">
        <v>1</v>
      </c>
      <c r="P88" s="10">
        <v>0.34300000000000003</v>
      </c>
      <c r="Q88" s="12">
        <v>77.946021819823201</v>
      </c>
    </row>
    <row r="89" spans="1:17" ht="30" x14ac:dyDescent="0.2">
      <c r="A89" s="6">
        <v>77</v>
      </c>
      <c r="B89" s="7" t="s">
        <v>259</v>
      </c>
      <c r="C89" s="6" t="s">
        <v>260</v>
      </c>
      <c r="D89" s="6" t="s">
        <v>27</v>
      </c>
      <c r="E89" s="6">
        <v>1881</v>
      </c>
      <c r="F89" s="7" t="s">
        <v>261</v>
      </c>
      <c r="G89" s="6" t="s">
        <v>46</v>
      </c>
      <c r="H89" s="8">
        <v>523.79999999999995</v>
      </c>
      <c r="I89" s="8">
        <v>483.6</v>
      </c>
      <c r="J89" s="9">
        <v>1.08312655086849</v>
      </c>
      <c r="K89" s="10">
        <v>0.103184449958644</v>
      </c>
      <c r="L89" s="10">
        <v>0.169851380042463</v>
      </c>
      <c r="M89" s="10">
        <v>-3.0172413793103401E-2</v>
      </c>
      <c r="N89" s="11">
        <v>0.9</v>
      </c>
      <c r="O89" s="11">
        <v>1</v>
      </c>
      <c r="P89" s="10">
        <v>0.437</v>
      </c>
      <c r="Q89" s="12">
        <v>77.944191702342707</v>
      </c>
    </row>
    <row r="90" spans="1:17" ht="30" x14ac:dyDescent="0.2">
      <c r="A90" s="6">
        <v>78</v>
      </c>
      <c r="B90" s="7" t="s">
        <v>262</v>
      </c>
      <c r="C90" s="6" t="s">
        <v>263</v>
      </c>
      <c r="D90" s="6" t="s">
        <v>27</v>
      </c>
      <c r="E90" s="6">
        <v>1966</v>
      </c>
      <c r="F90" s="7" t="s">
        <v>264</v>
      </c>
      <c r="G90" s="6" t="s">
        <v>46</v>
      </c>
      <c r="H90" s="8">
        <v>397.6</v>
      </c>
      <c r="I90" s="8">
        <v>371.8</v>
      </c>
      <c r="J90" s="9">
        <v>1.0693921463152201</v>
      </c>
      <c r="K90" s="10">
        <v>1.92980096826251E-2</v>
      </c>
      <c r="L90" s="10">
        <v>0.81130734010181205</v>
      </c>
      <c r="M90" s="10">
        <v>-0.25</v>
      </c>
      <c r="N90" s="11">
        <v>0.7</v>
      </c>
      <c r="O90" s="11">
        <v>0.8</v>
      </c>
      <c r="P90" s="10">
        <v>0.21870000000000001</v>
      </c>
      <c r="Q90" s="12">
        <v>77.808207451256607</v>
      </c>
    </row>
    <row r="91" spans="1:17" ht="30" x14ac:dyDescent="0.2">
      <c r="A91" s="6">
        <v>79</v>
      </c>
      <c r="B91" s="7" t="s">
        <v>265</v>
      </c>
      <c r="C91" s="6" t="s">
        <v>266</v>
      </c>
      <c r="D91" s="6" t="s">
        <v>27</v>
      </c>
      <c r="E91" s="6">
        <v>1985</v>
      </c>
      <c r="F91" s="7" t="s">
        <v>267</v>
      </c>
      <c r="G91" s="6" t="s">
        <v>46</v>
      </c>
      <c r="H91" s="8">
        <v>167.8</v>
      </c>
      <c r="I91" s="8">
        <v>158.19999999999999</v>
      </c>
      <c r="J91" s="9">
        <v>1.06068268015171</v>
      </c>
      <c r="K91" s="10">
        <v>9.0075853350189597E-2</v>
      </c>
      <c r="L91" s="10">
        <v>0.56546598056032005</v>
      </c>
      <c r="M91" s="10">
        <v>0.13577023498694499</v>
      </c>
      <c r="N91" s="11">
        <v>0.8</v>
      </c>
      <c r="O91" s="11">
        <v>0.9</v>
      </c>
      <c r="P91" s="10">
        <v>0.59199999999999997</v>
      </c>
      <c r="Q91" s="12">
        <v>77.703123661842397</v>
      </c>
    </row>
    <row r="92" spans="1:17" ht="30" x14ac:dyDescent="0.2">
      <c r="A92" s="6">
        <v>80</v>
      </c>
      <c r="B92" s="7" t="s">
        <v>268</v>
      </c>
      <c r="C92" s="6" t="s">
        <v>269</v>
      </c>
      <c r="D92" s="6" t="s">
        <v>27</v>
      </c>
      <c r="E92" s="6"/>
      <c r="F92" s="7" t="s">
        <v>270</v>
      </c>
      <c r="G92" s="6" t="s">
        <v>46</v>
      </c>
      <c r="H92" s="8">
        <v>86.5</v>
      </c>
      <c r="I92" s="8">
        <v>66.5</v>
      </c>
      <c r="J92" s="9">
        <v>1.3007518796992501</v>
      </c>
      <c r="K92" s="10">
        <v>0.12315789473684199</v>
      </c>
      <c r="L92" s="10">
        <v>0.75274725274725296</v>
      </c>
      <c r="M92" s="10">
        <v>9.3625498007968294E-2</v>
      </c>
      <c r="N92" s="11">
        <v>1</v>
      </c>
      <c r="O92" s="11">
        <v>1</v>
      </c>
      <c r="P92" s="10">
        <v>0.17</v>
      </c>
      <c r="Q92" s="12">
        <v>77.690203607458201</v>
      </c>
    </row>
    <row r="93" spans="1:17" ht="30" x14ac:dyDescent="0.2">
      <c r="A93" s="6">
        <v>81</v>
      </c>
      <c r="B93" s="7" t="s">
        <v>271</v>
      </c>
      <c r="C93" s="6" t="s">
        <v>272</v>
      </c>
      <c r="D93" s="6" t="s">
        <v>27</v>
      </c>
      <c r="E93" s="6"/>
      <c r="F93" s="7" t="s">
        <v>273</v>
      </c>
      <c r="G93" s="6" t="s">
        <v>33</v>
      </c>
      <c r="H93" s="8">
        <v>62.9</v>
      </c>
      <c r="I93" s="8">
        <v>71.2</v>
      </c>
      <c r="J93" s="9">
        <v>0.88342696629213502</v>
      </c>
      <c r="K93" s="10">
        <v>8.9957865168539305E-2</v>
      </c>
      <c r="L93" s="10">
        <v>1.1147540983606601</v>
      </c>
      <c r="M93" s="10">
        <v>8.6330935251798704E-2</v>
      </c>
      <c r="N93" s="11">
        <v>1</v>
      </c>
      <c r="O93" s="11">
        <v>1</v>
      </c>
      <c r="P93" s="10">
        <v>0</v>
      </c>
      <c r="Q93" s="12">
        <v>77.4724641277232</v>
      </c>
    </row>
    <row r="94" spans="1:17" ht="30" x14ac:dyDescent="0.2">
      <c r="A94" s="6">
        <v>82</v>
      </c>
      <c r="B94" s="7" t="s">
        <v>274</v>
      </c>
      <c r="C94" s="6" t="s">
        <v>275</v>
      </c>
      <c r="D94" s="6" t="s">
        <v>27</v>
      </c>
      <c r="E94" s="6">
        <v>1985</v>
      </c>
      <c r="F94" s="7" t="s">
        <v>276</v>
      </c>
      <c r="G94" s="6" t="s">
        <v>46</v>
      </c>
      <c r="H94" s="8">
        <v>81.400000000000006</v>
      </c>
      <c r="I94" s="8">
        <v>76.3</v>
      </c>
      <c r="J94" s="9">
        <v>1.0668414154652699</v>
      </c>
      <c r="K94" s="10">
        <v>0.12670380078637</v>
      </c>
      <c r="L94" s="10">
        <v>1.61392405063291</v>
      </c>
      <c r="M94" s="10">
        <v>0.15018315018315001</v>
      </c>
      <c r="N94" s="11">
        <v>1</v>
      </c>
      <c r="O94" s="11">
        <v>1</v>
      </c>
      <c r="P94" s="10">
        <v>0</v>
      </c>
      <c r="Q94" s="12">
        <v>77.213759608886804</v>
      </c>
    </row>
    <row r="95" spans="1:17" ht="30" x14ac:dyDescent="0.2">
      <c r="A95" s="6">
        <v>83</v>
      </c>
      <c r="B95" s="7" t="s">
        <v>277</v>
      </c>
      <c r="C95" s="6" t="s">
        <v>278</v>
      </c>
      <c r="D95" s="6" t="s">
        <v>52</v>
      </c>
      <c r="E95" s="6">
        <v>2017</v>
      </c>
      <c r="F95" s="7" t="s">
        <v>279</v>
      </c>
      <c r="G95" s="6" t="s">
        <v>29</v>
      </c>
      <c r="H95" s="8">
        <v>166.8</v>
      </c>
      <c r="I95" s="8">
        <v>96.7</v>
      </c>
      <c r="J95" s="9">
        <v>1.7249224405377499</v>
      </c>
      <c r="K95" s="10">
        <v>0.152197518097208</v>
      </c>
      <c r="L95" s="10">
        <v>1.0401785714285701</v>
      </c>
      <c r="M95" s="10">
        <v>-3.9130434782608602E-2</v>
      </c>
      <c r="N95" s="11">
        <v>0.8</v>
      </c>
      <c r="O95" s="11">
        <v>1</v>
      </c>
      <c r="P95" s="10">
        <v>0.46</v>
      </c>
      <c r="Q95" s="12">
        <v>77.196245363112496</v>
      </c>
    </row>
    <row r="96" spans="1:17" ht="30" x14ac:dyDescent="0.2">
      <c r="A96" s="6">
        <v>84</v>
      </c>
      <c r="B96" s="7" t="s">
        <v>280</v>
      </c>
      <c r="C96" s="6" t="s">
        <v>281</v>
      </c>
      <c r="D96" s="6" t="s">
        <v>27</v>
      </c>
      <c r="E96" s="6"/>
      <c r="F96" s="7" t="s">
        <v>282</v>
      </c>
      <c r="G96" s="6" t="s">
        <v>33</v>
      </c>
      <c r="H96" s="8">
        <v>419</v>
      </c>
      <c r="I96" s="8">
        <v>540.4</v>
      </c>
      <c r="J96" s="9">
        <v>0.77535159141376797</v>
      </c>
      <c r="K96" s="10">
        <v>0.13485381199111801</v>
      </c>
      <c r="L96" s="10">
        <v>0.45264727815063399</v>
      </c>
      <c r="M96" s="10">
        <v>-7.3943661971830901E-2</v>
      </c>
      <c r="N96" s="11">
        <v>0.9</v>
      </c>
      <c r="O96" s="11">
        <v>1</v>
      </c>
      <c r="P96" s="10">
        <v>0.1</v>
      </c>
      <c r="Q96" s="12">
        <v>77.186420064786304</v>
      </c>
    </row>
    <row r="97" spans="1:17" ht="30" x14ac:dyDescent="0.2">
      <c r="A97" s="6">
        <v>85</v>
      </c>
      <c r="B97" s="7" t="s">
        <v>283</v>
      </c>
      <c r="C97" s="6" t="s">
        <v>284</v>
      </c>
      <c r="D97" s="6" t="s">
        <v>27</v>
      </c>
      <c r="E97" s="6">
        <v>1828</v>
      </c>
      <c r="F97" s="7" t="s">
        <v>285</v>
      </c>
      <c r="G97" s="6" t="s">
        <v>46</v>
      </c>
      <c r="H97" s="8">
        <v>65.8</v>
      </c>
      <c r="I97" s="8">
        <v>61.8</v>
      </c>
      <c r="J97" s="9">
        <v>1.0647249190938499</v>
      </c>
      <c r="K97" s="10">
        <v>0.123462783171521</v>
      </c>
      <c r="L97" s="10">
        <v>2.2729331823329599</v>
      </c>
      <c r="M97" s="10">
        <v>-5.2910052910052803E-2</v>
      </c>
      <c r="N97" s="11">
        <v>1</v>
      </c>
      <c r="O97" s="11">
        <v>1</v>
      </c>
      <c r="P97" s="10">
        <v>0</v>
      </c>
      <c r="Q97" s="12">
        <v>77.114642169822801</v>
      </c>
    </row>
    <row r="98" spans="1:17" ht="30" x14ac:dyDescent="0.2">
      <c r="A98" s="6">
        <v>86</v>
      </c>
      <c r="B98" s="7" t="s">
        <v>286</v>
      </c>
      <c r="C98" s="6" t="s">
        <v>287</v>
      </c>
      <c r="D98" s="6" t="s">
        <v>52</v>
      </c>
      <c r="E98" s="6"/>
      <c r="F98" s="7" t="s">
        <v>288</v>
      </c>
      <c r="G98" s="6" t="s">
        <v>29</v>
      </c>
      <c r="H98" s="8">
        <v>304</v>
      </c>
      <c r="I98" s="8">
        <v>126.2</v>
      </c>
      <c r="J98" s="9">
        <v>2.4088748019017401</v>
      </c>
      <c r="K98" s="10">
        <v>0.16996830427892201</v>
      </c>
      <c r="L98" s="10">
        <v>0.70033670033670004</v>
      </c>
      <c r="M98" s="10">
        <v>-4.0590405904059101E-2</v>
      </c>
      <c r="N98" s="11">
        <v>0.9</v>
      </c>
      <c r="O98" s="11">
        <v>1</v>
      </c>
      <c r="P98" s="10">
        <v>0.8</v>
      </c>
      <c r="Q98" s="12">
        <v>77.093812656258194</v>
      </c>
    </row>
    <row r="99" spans="1:17" ht="30" x14ac:dyDescent="0.2">
      <c r="A99" s="6">
        <v>87</v>
      </c>
      <c r="B99" s="7" t="s">
        <v>289</v>
      </c>
      <c r="C99" s="6" t="s">
        <v>290</v>
      </c>
      <c r="D99" s="6" t="s">
        <v>27</v>
      </c>
      <c r="E99" s="6">
        <v>1999</v>
      </c>
      <c r="F99" s="7" t="s">
        <v>291</v>
      </c>
      <c r="G99" s="6" t="s">
        <v>29</v>
      </c>
      <c r="H99" s="8">
        <v>61.4</v>
      </c>
      <c r="I99" s="8">
        <v>9.31</v>
      </c>
      <c r="J99" s="9">
        <v>6.5950590762620802</v>
      </c>
      <c r="K99" s="10">
        <v>0.209452201933405</v>
      </c>
      <c r="L99" s="10">
        <v>1.1465517241379299</v>
      </c>
      <c r="M99" s="10">
        <v>-0.136894824707846</v>
      </c>
      <c r="N99" s="11">
        <v>1</v>
      </c>
      <c r="O99" s="11">
        <v>1</v>
      </c>
      <c r="P99" s="10">
        <v>0.57999999999999996</v>
      </c>
      <c r="Q99" s="12">
        <v>77.092093316782297</v>
      </c>
    </row>
    <row r="100" spans="1:17" ht="30" x14ac:dyDescent="0.2">
      <c r="A100" s="6">
        <v>88</v>
      </c>
      <c r="B100" s="7" t="s">
        <v>292</v>
      </c>
      <c r="C100" s="6" t="s">
        <v>293</v>
      </c>
      <c r="D100" s="6" t="s">
        <v>27</v>
      </c>
      <c r="E100" s="6">
        <v>1991</v>
      </c>
      <c r="F100" s="7" t="s">
        <v>294</v>
      </c>
      <c r="G100" s="6" t="s">
        <v>46</v>
      </c>
      <c r="H100" s="8">
        <v>1085.0999999999999</v>
      </c>
      <c r="I100" s="8">
        <v>789.5</v>
      </c>
      <c r="J100" s="9">
        <v>1.37441418619379</v>
      </c>
      <c r="K100" s="10">
        <v>0.171975934135529</v>
      </c>
      <c r="L100" s="10">
        <v>1.78691774033697</v>
      </c>
      <c r="M100" s="10">
        <v>-8.5714285714285701E-2</v>
      </c>
      <c r="N100" s="11">
        <v>1</v>
      </c>
      <c r="O100" s="11">
        <v>1</v>
      </c>
      <c r="P100" s="10">
        <v>0</v>
      </c>
      <c r="Q100" s="12">
        <v>77.029245967494603</v>
      </c>
    </row>
    <row r="101" spans="1:17" ht="30" x14ac:dyDescent="0.2">
      <c r="A101" s="6">
        <v>89</v>
      </c>
      <c r="B101" s="7" t="s">
        <v>295</v>
      </c>
      <c r="C101" s="6" t="s">
        <v>296</v>
      </c>
      <c r="D101" s="6" t="s">
        <v>52</v>
      </c>
      <c r="E101" s="6">
        <v>1995</v>
      </c>
      <c r="F101" s="7" t="s">
        <v>297</v>
      </c>
      <c r="G101" s="6" t="s">
        <v>29</v>
      </c>
      <c r="H101" s="8">
        <v>431.6</v>
      </c>
      <c r="I101" s="8">
        <v>167</v>
      </c>
      <c r="J101" s="9">
        <v>2.5844311377245499</v>
      </c>
      <c r="K101" s="10">
        <v>0.26122754491018002</v>
      </c>
      <c r="L101" s="10">
        <v>3.68325791855204</v>
      </c>
      <c r="M101" s="10">
        <v>0</v>
      </c>
      <c r="N101" s="11">
        <v>0.5</v>
      </c>
      <c r="O101" s="11">
        <v>1</v>
      </c>
      <c r="P101" s="10">
        <v>0.35</v>
      </c>
      <c r="Q101" s="12">
        <v>77.026998491704404</v>
      </c>
    </row>
    <row r="102" spans="1:17" ht="45" x14ac:dyDescent="0.2">
      <c r="A102" s="6">
        <v>90</v>
      </c>
      <c r="B102" s="7" t="s">
        <v>298</v>
      </c>
      <c r="C102" s="6" t="s">
        <v>299</v>
      </c>
      <c r="D102" s="6" t="s">
        <v>27</v>
      </c>
      <c r="E102" s="6">
        <v>1941</v>
      </c>
      <c r="F102" s="7" t="s">
        <v>300</v>
      </c>
      <c r="G102" s="6" t="s">
        <v>29</v>
      </c>
      <c r="H102" s="8">
        <v>903</v>
      </c>
      <c r="I102" s="8">
        <v>259.10000000000002</v>
      </c>
      <c r="J102" s="9">
        <v>3.4851408722501001</v>
      </c>
      <c r="K102" s="10">
        <v>0.148687765341567</v>
      </c>
      <c r="L102" s="10">
        <v>0.83556918359524701</v>
      </c>
      <c r="M102" s="10">
        <v>-2.7972027972028E-2</v>
      </c>
      <c r="N102" s="11">
        <v>1</v>
      </c>
      <c r="O102" s="11">
        <v>1</v>
      </c>
      <c r="P102" s="10">
        <v>0.38</v>
      </c>
      <c r="Q102" s="12">
        <v>76.935786291624197</v>
      </c>
    </row>
    <row r="103" spans="1:17" ht="30" x14ac:dyDescent="0.2">
      <c r="A103" s="6">
        <v>91</v>
      </c>
      <c r="B103" s="7" t="s">
        <v>301</v>
      </c>
      <c r="C103" s="6" t="s">
        <v>302</v>
      </c>
      <c r="D103" s="6" t="s">
        <v>52</v>
      </c>
      <c r="E103" s="6">
        <v>1992</v>
      </c>
      <c r="F103" s="7" t="s">
        <v>303</v>
      </c>
      <c r="G103" s="6" t="s">
        <v>29</v>
      </c>
      <c r="H103" s="8">
        <v>30.7</v>
      </c>
      <c r="I103" s="8">
        <v>3.59</v>
      </c>
      <c r="J103" s="9">
        <v>8.5515320334261808</v>
      </c>
      <c r="K103" s="10">
        <v>0.54038997214484696</v>
      </c>
      <c r="L103" s="10">
        <v>0.93379790940766505</v>
      </c>
      <c r="M103" s="10">
        <v>1.11642743221691E-2</v>
      </c>
      <c r="N103" s="11">
        <v>1</v>
      </c>
      <c r="O103" s="11">
        <v>1</v>
      </c>
      <c r="P103" s="10">
        <v>0.55000000000000004</v>
      </c>
      <c r="Q103" s="12">
        <v>76.924917831053307</v>
      </c>
    </row>
    <row r="104" spans="1:17" ht="30" x14ac:dyDescent="0.2">
      <c r="A104" s="6">
        <v>92</v>
      </c>
      <c r="B104" s="7" t="s">
        <v>304</v>
      </c>
      <c r="C104" s="6" t="s">
        <v>305</v>
      </c>
      <c r="D104" s="6" t="s">
        <v>52</v>
      </c>
      <c r="E104" s="6"/>
      <c r="F104" s="7" t="s">
        <v>306</v>
      </c>
      <c r="G104" s="6" t="s">
        <v>46</v>
      </c>
      <c r="H104" s="8">
        <v>363.5</v>
      </c>
      <c r="I104" s="8">
        <v>333</v>
      </c>
      <c r="J104" s="9">
        <v>1.0915915915915899</v>
      </c>
      <c r="K104" s="10">
        <v>0.11478978978979</v>
      </c>
      <c r="L104" s="10">
        <v>4.9023314429741696</v>
      </c>
      <c r="M104" s="10">
        <v>7.6666666666666605E-2</v>
      </c>
      <c r="N104" s="11">
        <v>0.9</v>
      </c>
      <c r="O104" s="11">
        <v>1</v>
      </c>
      <c r="P104" s="10">
        <v>0</v>
      </c>
      <c r="Q104" s="12">
        <v>76.908295625942699</v>
      </c>
    </row>
    <row r="105" spans="1:17" ht="30" x14ac:dyDescent="0.2">
      <c r="A105" s="6">
        <v>93</v>
      </c>
      <c r="B105" s="7" t="s">
        <v>307</v>
      </c>
      <c r="C105" s="6" t="s">
        <v>308</v>
      </c>
      <c r="D105" s="6" t="s">
        <v>27</v>
      </c>
      <c r="E105" s="6">
        <v>1932</v>
      </c>
      <c r="F105" s="7" t="s">
        <v>309</v>
      </c>
      <c r="G105" s="6" t="s">
        <v>33</v>
      </c>
      <c r="H105" s="8">
        <v>254.1</v>
      </c>
      <c r="I105" s="8">
        <v>272.5</v>
      </c>
      <c r="J105" s="9">
        <v>0.93247706422018395</v>
      </c>
      <c r="K105" s="10">
        <v>0.102201834862385</v>
      </c>
      <c r="L105" s="10">
        <v>0.828451882845189</v>
      </c>
      <c r="M105" s="10">
        <v>-4.6228710462287201E-2</v>
      </c>
      <c r="N105" s="11">
        <v>1</v>
      </c>
      <c r="O105" s="11">
        <v>1</v>
      </c>
      <c r="P105" s="10">
        <v>0</v>
      </c>
      <c r="Q105" s="12">
        <v>76.898212066891702</v>
      </c>
    </row>
    <row r="106" spans="1:17" ht="30" x14ac:dyDescent="0.2">
      <c r="A106" s="6">
        <v>94</v>
      </c>
      <c r="B106" s="7" t="s">
        <v>310</v>
      </c>
      <c r="C106" s="6" t="s">
        <v>311</v>
      </c>
      <c r="D106" s="6" t="s">
        <v>27</v>
      </c>
      <c r="E106" s="6">
        <v>1980</v>
      </c>
      <c r="F106" s="7" t="s">
        <v>312</v>
      </c>
      <c r="G106" s="6" t="s">
        <v>46</v>
      </c>
      <c r="H106" s="8">
        <v>399</v>
      </c>
      <c r="I106" s="8">
        <v>291.10000000000002</v>
      </c>
      <c r="J106" s="9">
        <v>1.37066300240467</v>
      </c>
      <c r="K106" s="10">
        <v>8.4678804534524199E-2</v>
      </c>
      <c r="L106" s="10">
        <v>0.28913443830570901</v>
      </c>
      <c r="M106" s="10">
        <v>-0.246153846153846</v>
      </c>
      <c r="N106" s="11">
        <v>0.9</v>
      </c>
      <c r="O106" s="11">
        <v>1</v>
      </c>
      <c r="P106" s="10">
        <v>0.4</v>
      </c>
      <c r="Q106" s="12">
        <v>76.805737648131995</v>
      </c>
    </row>
    <row r="107" spans="1:17" ht="30" x14ac:dyDescent="0.2">
      <c r="A107" s="6">
        <v>95</v>
      </c>
      <c r="B107" s="7" t="s">
        <v>313</v>
      </c>
      <c r="C107" s="6" t="s">
        <v>314</v>
      </c>
      <c r="D107" s="6" t="s">
        <v>27</v>
      </c>
      <c r="E107" s="6">
        <v>1965</v>
      </c>
      <c r="F107" s="7" t="s">
        <v>315</v>
      </c>
      <c r="G107" s="6" t="s">
        <v>46</v>
      </c>
      <c r="H107" s="8">
        <v>251.3</v>
      </c>
      <c r="I107" s="8">
        <v>125</v>
      </c>
      <c r="J107" s="9">
        <v>2.0104000000000002</v>
      </c>
      <c r="K107" s="10">
        <v>0.22259999999999999</v>
      </c>
      <c r="L107" s="10">
        <v>1.28470783257356E-2</v>
      </c>
      <c r="M107" s="10">
        <v>-7.6517150395778305E-2</v>
      </c>
      <c r="N107" s="11">
        <v>1</v>
      </c>
      <c r="O107" s="11">
        <v>1</v>
      </c>
      <c r="P107" s="10">
        <v>0.23300000000000001</v>
      </c>
      <c r="Q107" s="12">
        <v>76.782345096804406</v>
      </c>
    </row>
    <row r="108" spans="1:17" ht="30" x14ac:dyDescent="0.2">
      <c r="A108" s="6">
        <v>96</v>
      </c>
      <c r="B108" s="7" t="s">
        <v>316</v>
      </c>
      <c r="C108" s="6" t="s">
        <v>317</v>
      </c>
      <c r="D108" s="6" t="s">
        <v>52</v>
      </c>
      <c r="E108" s="6">
        <v>1961</v>
      </c>
      <c r="F108" s="7" t="s">
        <v>318</v>
      </c>
      <c r="G108" s="6" t="s">
        <v>46</v>
      </c>
      <c r="H108" s="8">
        <v>180.4</v>
      </c>
      <c r="I108" s="8">
        <v>169.6</v>
      </c>
      <c r="J108" s="9">
        <v>1.0636792452830199</v>
      </c>
      <c r="K108" s="10">
        <v>2.03021816037736E-2</v>
      </c>
      <c r="L108" s="10">
        <v>0.10604288499025299</v>
      </c>
      <c r="M108" s="10">
        <v>2.5821596244131498E-2</v>
      </c>
      <c r="N108" s="11">
        <v>0.8</v>
      </c>
      <c r="O108" s="11">
        <v>0.9</v>
      </c>
      <c r="P108" s="10">
        <v>0.45</v>
      </c>
      <c r="Q108" s="12">
        <v>76.729945862159198</v>
      </c>
    </row>
    <row r="109" spans="1:17" ht="30" x14ac:dyDescent="0.2">
      <c r="A109" s="6">
        <v>97</v>
      </c>
      <c r="B109" s="7" t="s">
        <v>319</v>
      </c>
      <c r="C109" s="6" t="s">
        <v>320</v>
      </c>
      <c r="D109" s="6" t="s">
        <v>27</v>
      </c>
      <c r="E109" s="6">
        <v>1991</v>
      </c>
      <c r="F109" s="7" t="s">
        <v>321</v>
      </c>
      <c r="G109" s="6" t="s">
        <v>46</v>
      </c>
      <c r="H109" s="8">
        <v>502.5</v>
      </c>
      <c r="I109" s="8">
        <v>345.6</v>
      </c>
      <c r="J109" s="9">
        <v>1.45399305555556</v>
      </c>
      <c r="K109" s="10">
        <v>0.12854456018518501</v>
      </c>
      <c r="L109" s="10">
        <v>1.7925764192139699</v>
      </c>
      <c r="M109" s="10">
        <v>6.5830721003134696E-2</v>
      </c>
      <c r="N109" s="11">
        <v>1</v>
      </c>
      <c r="O109" s="11">
        <v>1</v>
      </c>
      <c r="P109" s="10">
        <v>0</v>
      </c>
      <c r="Q109" s="12">
        <v>76.525613719744797</v>
      </c>
    </row>
    <row r="110" spans="1:17" ht="30" x14ac:dyDescent="0.2">
      <c r="A110" s="6">
        <v>98</v>
      </c>
      <c r="B110" s="7" t="s">
        <v>322</v>
      </c>
      <c r="C110" s="6" t="s">
        <v>323</v>
      </c>
      <c r="D110" s="6" t="s">
        <v>27</v>
      </c>
      <c r="E110" s="6"/>
      <c r="F110" s="7" t="s">
        <v>324</v>
      </c>
      <c r="G110" s="6" t="s">
        <v>33</v>
      </c>
      <c r="H110" s="8">
        <v>119.5</v>
      </c>
      <c r="I110" s="8">
        <v>125.4</v>
      </c>
      <c r="J110" s="9">
        <v>0.95295055821371599</v>
      </c>
      <c r="K110" s="10">
        <v>0.10486443381180199</v>
      </c>
      <c r="L110" s="10">
        <v>0.91984732824427495</v>
      </c>
      <c r="M110" s="10">
        <v>2.4193548387096801E-2</v>
      </c>
      <c r="N110" s="11">
        <v>1</v>
      </c>
      <c r="O110" s="11">
        <v>1</v>
      </c>
      <c r="P110" s="10">
        <v>0</v>
      </c>
      <c r="Q110" s="12">
        <v>76.369756718413697</v>
      </c>
    </row>
    <row r="111" spans="1:17" ht="45" x14ac:dyDescent="0.2">
      <c r="A111" s="6">
        <v>99</v>
      </c>
      <c r="B111" s="7" t="s">
        <v>325</v>
      </c>
      <c r="C111" s="6" t="s">
        <v>326</v>
      </c>
      <c r="D111" s="6" t="s">
        <v>27</v>
      </c>
      <c r="E111" s="6">
        <v>1947</v>
      </c>
      <c r="F111" s="7" t="s">
        <v>327</v>
      </c>
      <c r="G111" s="6" t="s">
        <v>46</v>
      </c>
      <c r="H111" s="8">
        <v>116.5</v>
      </c>
      <c r="I111" s="8">
        <v>103.1</v>
      </c>
      <c r="J111" s="9">
        <v>1.12997090203686</v>
      </c>
      <c r="K111" s="10">
        <v>0.100848690591659</v>
      </c>
      <c r="L111" s="10">
        <v>2.1555555555555599</v>
      </c>
      <c r="M111" s="10">
        <v>0</v>
      </c>
      <c r="N111" s="11">
        <v>1</v>
      </c>
      <c r="O111" s="11">
        <v>1</v>
      </c>
      <c r="P111" s="10">
        <v>0</v>
      </c>
      <c r="Q111" s="12">
        <v>76.303014155939493</v>
      </c>
    </row>
    <row r="112" spans="1:17" ht="30" x14ac:dyDescent="0.2">
      <c r="A112" s="6">
        <v>100</v>
      </c>
      <c r="B112" s="7" t="s">
        <v>328</v>
      </c>
      <c r="C112" s="6" t="s">
        <v>329</v>
      </c>
      <c r="D112" s="6" t="s">
        <v>52</v>
      </c>
      <c r="E112" s="6">
        <v>1988</v>
      </c>
      <c r="F112" s="7" t="s">
        <v>330</v>
      </c>
      <c r="G112" s="6" t="s">
        <v>75</v>
      </c>
      <c r="H112" s="8">
        <v>229.2</v>
      </c>
      <c r="I112" s="8">
        <v>156.6</v>
      </c>
      <c r="J112" s="9">
        <v>1.4636015325670499</v>
      </c>
      <c r="K112" s="10">
        <v>4.2049808429118797E-2</v>
      </c>
      <c r="L112" s="10">
        <v>1.9677419354838701</v>
      </c>
      <c r="M112" s="10">
        <v>8.48214285714287E-2</v>
      </c>
      <c r="N112" s="11">
        <v>0.7</v>
      </c>
      <c r="O112" s="11">
        <v>0.9</v>
      </c>
      <c r="P112" s="10">
        <v>0.41899999999999998</v>
      </c>
      <c r="Q112" s="12">
        <v>76.299873175148505</v>
      </c>
    </row>
    <row r="113" spans="1:17" ht="30" x14ac:dyDescent="0.2">
      <c r="A113" s="6">
        <v>101</v>
      </c>
      <c r="B113" s="7" t="s">
        <v>331</v>
      </c>
      <c r="C113" s="6" t="s">
        <v>332</v>
      </c>
      <c r="D113" s="6" t="s">
        <v>27</v>
      </c>
      <c r="E113" s="6"/>
      <c r="F113" s="7" t="s">
        <v>333</v>
      </c>
      <c r="G113" s="6" t="s">
        <v>46</v>
      </c>
      <c r="H113" s="8">
        <v>76.5</v>
      </c>
      <c r="I113" s="8">
        <v>66.099999999999994</v>
      </c>
      <c r="J113" s="9">
        <v>1.15733736762481</v>
      </c>
      <c r="K113" s="10">
        <v>0.121104387291982</v>
      </c>
      <c r="L113" s="10">
        <v>0.83571428571428596</v>
      </c>
      <c r="M113" s="10">
        <v>-0.14507772020725401</v>
      </c>
      <c r="N113" s="11">
        <v>1</v>
      </c>
      <c r="O113" s="11">
        <v>1</v>
      </c>
      <c r="P113" s="10">
        <v>0</v>
      </c>
      <c r="Q113" s="12">
        <v>76.259169709258899</v>
      </c>
    </row>
    <row r="114" spans="1:17" ht="30" x14ac:dyDescent="0.2">
      <c r="A114" s="6">
        <v>102</v>
      </c>
      <c r="B114" s="7" t="s">
        <v>334</v>
      </c>
      <c r="C114" s="6" t="s">
        <v>335</v>
      </c>
      <c r="D114" s="6" t="s">
        <v>27</v>
      </c>
      <c r="E114" s="6">
        <v>1916</v>
      </c>
      <c r="F114" s="7" t="s">
        <v>336</v>
      </c>
      <c r="G114" s="6" t="s">
        <v>33</v>
      </c>
      <c r="H114" s="8">
        <v>587.9</v>
      </c>
      <c r="I114" s="8">
        <v>751.1</v>
      </c>
      <c r="J114" s="9">
        <v>0.78271867927040295</v>
      </c>
      <c r="K114" s="10">
        <v>1.0218346425243E-2</v>
      </c>
      <c r="L114" s="10">
        <v>0.36289672359451802</v>
      </c>
      <c r="M114" s="10">
        <v>-7.7653149266609604E-3</v>
      </c>
      <c r="N114" s="11">
        <v>0.8</v>
      </c>
      <c r="O114" s="11">
        <v>1</v>
      </c>
      <c r="P114" s="10">
        <v>0.31</v>
      </c>
      <c r="Q114" s="12">
        <v>76.173435970321705</v>
      </c>
    </row>
    <row r="115" spans="1:17" ht="30" x14ac:dyDescent="0.2">
      <c r="A115" s="6">
        <v>103</v>
      </c>
      <c r="B115" s="7" t="s">
        <v>337</v>
      </c>
      <c r="C115" s="6" t="s">
        <v>338</v>
      </c>
      <c r="D115" s="6" t="s">
        <v>27</v>
      </c>
      <c r="E115" s="6"/>
      <c r="F115" s="7" t="s">
        <v>339</v>
      </c>
      <c r="G115" s="6" t="s">
        <v>46</v>
      </c>
      <c r="H115" s="8">
        <v>82.5</v>
      </c>
      <c r="I115" s="8">
        <v>36.299999999999997</v>
      </c>
      <c r="J115" s="9">
        <v>2.2727272727272698</v>
      </c>
      <c r="K115" s="10">
        <v>0.227066115702479</v>
      </c>
      <c r="L115" s="10">
        <v>4.0327868852459003</v>
      </c>
      <c r="M115" s="10">
        <v>7.2847682119205406E-2</v>
      </c>
      <c r="N115" s="11">
        <v>1</v>
      </c>
      <c r="O115" s="11">
        <v>1</v>
      </c>
      <c r="P115" s="10">
        <v>0</v>
      </c>
      <c r="Q115" s="12">
        <v>76.164102564102606</v>
      </c>
    </row>
    <row r="116" spans="1:17" ht="30" x14ac:dyDescent="0.2">
      <c r="A116" s="6">
        <v>104</v>
      </c>
      <c r="B116" s="7" t="s">
        <v>340</v>
      </c>
      <c r="C116" s="6" t="s">
        <v>341</v>
      </c>
      <c r="D116" s="6" t="s">
        <v>27</v>
      </c>
      <c r="E116" s="6">
        <v>1958</v>
      </c>
      <c r="F116" s="7" t="s">
        <v>342</v>
      </c>
      <c r="G116" s="6" t="s">
        <v>33</v>
      </c>
      <c r="H116" s="8">
        <v>960.3</v>
      </c>
      <c r="I116" s="8">
        <v>1224.7</v>
      </c>
      <c r="J116" s="9">
        <v>0.78411039438229801</v>
      </c>
      <c r="K116" s="10">
        <v>0.112496938025639</v>
      </c>
      <c r="L116" s="10">
        <v>1.8572990161979499</v>
      </c>
      <c r="M116" s="10">
        <v>3.2967032967032898E-2</v>
      </c>
      <c r="N116" s="11">
        <v>0.9</v>
      </c>
      <c r="O116" s="11">
        <v>1</v>
      </c>
      <c r="P116" s="10">
        <v>0</v>
      </c>
      <c r="Q116" s="12">
        <v>76.034603097330603</v>
      </c>
    </row>
    <row r="117" spans="1:17" ht="30" x14ac:dyDescent="0.2">
      <c r="A117" s="6">
        <v>105</v>
      </c>
      <c r="B117" s="7" t="s">
        <v>343</v>
      </c>
      <c r="C117" s="6" t="s">
        <v>344</v>
      </c>
      <c r="D117" s="6" t="s">
        <v>27</v>
      </c>
      <c r="E117" s="6">
        <v>1946</v>
      </c>
      <c r="F117" s="7" t="s">
        <v>345</v>
      </c>
      <c r="G117" s="6" t="s">
        <v>46</v>
      </c>
      <c r="H117" s="8">
        <v>353.9</v>
      </c>
      <c r="I117" s="8">
        <v>116.3</v>
      </c>
      <c r="J117" s="9">
        <v>3.0429922613929499</v>
      </c>
      <c r="K117" s="10">
        <v>1.9153052450558899E-2</v>
      </c>
      <c r="L117" s="10">
        <v>0.17951668584579999</v>
      </c>
      <c r="M117" s="10">
        <v>-0.43537414965986398</v>
      </c>
      <c r="N117" s="11">
        <v>0.8</v>
      </c>
      <c r="O117" s="11">
        <v>0.77777777777777801</v>
      </c>
      <c r="P117" s="10">
        <v>0.38100000000000001</v>
      </c>
      <c r="Q117" s="12">
        <v>75.867334509309799</v>
      </c>
    </row>
    <row r="118" spans="1:17" ht="30" x14ac:dyDescent="0.2">
      <c r="A118" s="6">
        <v>106</v>
      </c>
      <c r="B118" s="7" t="s">
        <v>346</v>
      </c>
      <c r="C118" s="6" t="s">
        <v>347</v>
      </c>
      <c r="D118" s="6" t="s">
        <v>52</v>
      </c>
      <c r="E118" s="6">
        <v>1912</v>
      </c>
      <c r="F118" s="7" t="s">
        <v>348</v>
      </c>
      <c r="G118" s="6" t="s">
        <v>46</v>
      </c>
      <c r="H118" s="8">
        <v>230.9</v>
      </c>
      <c r="I118" s="8">
        <v>158.4</v>
      </c>
      <c r="J118" s="9">
        <v>1.4577020202020201</v>
      </c>
      <c r="K118" s="10">
        <v>0.15751262626262599</v>
      </c>
      <c r="L118" s="10">
        <v>0.46863295880149802</v>
      </c>
      <c r="M118" s="10">
        <v>5.5555555555555497E-2</v>
      </c>
      <c r="N118" s="11">
        <v>1</v>
      </c>
      <c r="O118" s="11">
        <v>1</v>
      </c>
      <c r="P118" s="10">
        <v>0.23899999999999999</v>
      </c>
      <c r="Q118" s="12">
        <v>75.804818621200496</v>
      </c>
    </row>
    <row r="119" spans="1:17" ht="30" x14ac:dyDescent="0.2">
      <c r="A119" s="6">
        <v>107</v>
      </c>
      <c r="B119" s="7" t="s">
        <v>349</v>
      </c>
      <c r="C119" s="6" t="s">
        <v>350</v>
      </c>
      <c r="D119" s="6" t="s">
        <v>27</v>
      </c>
      <c r="E119" s="6">
        <v>1931</v>
      </c>
      <c r="F119" s="7" t="s">
        <v>351</v>
      </c>
      <c r="G119" s="6" t="s">
        <v>29</v>
      </c>
      <c r="H119" s="8">
        <v>340.3</v>
      </c>
      <c r="I119" s="8">
        <v>99.7</v>
      </c>
      <c r="J119" s="9">
        <v>3.4132397191574699</v>
      </c>
      <c r="K119" s="10">
        <v>0.19884653961885701</v>
      </c>
      <c r="L119" s="10">
        <v>8.7719298245613198E-3</v>
      </c>
      <c r="M119" s="10">
        <v>-3.4871794871794898E-2</v>
      </c>
      <c r="N119" s="11">
        <v>1</v>
      </c>
      <c r="O119" s="11">
        <v>0.9</v>
      </c>
      <c r="P119" s="10">
        <v>0.7</v>
      </c>
      <c r="Q119" s="12">
        <v>75.738652472795096</v>
      </c>
    </row>
    <row r="120" spans="1:17" ht="45" x14ac:dyDescent="0.2">
      <c r="A120" s="6">
        <v>108</v>
      </c>
      <c r="B120" s="7" t="s">
        <v>352</v>
      </c>
      <c r="C120" s="6" t="s">
        <v>353</v>
      </c>
      <c r="D120" s="6" t="s">
        <v>27</v>
      </c>
      <c r="E120" s="6">
        <v>1970</v>
      </c>
      <c r="F120" s="7" t="s">
        <v>354</v>
      </c>
      <c r="G120" s="6" t="s">
        <v>46</v>
      </c>
      <c r="H120" s="8">
        <v>459.5</v>
      </c>
      <c r="I120" s="8">
        <v>418.4</v>
      </c>
      <c r="J120" s="9">
        <v>1.0982313575525799</v>
      </c>
      <c r="K120" s="10">
        <v>-6.5726577437858497E-3</v>
      </c>
      <c r="L120" s="10">
        <v>0.41497060153776599</v>
      </c>
      <c r="M120" s="10">
        <v>4.5685279187817403E-2</v>
      </c>
      <c r="N120" s="11">
        <v>0.8</v>
      </c>
      <c r="O120" s="11">
        <v>0.9</v>
      </c>
      <c r="P120" s="10">
        <v>0.34799999999999998</v>
      </c>
      <c r="Q120" s="12">
        <v>75.684212440604099</v>
      </c>
    </row>
    <row r="121" spans="1:17" ht="30" x14ac:dyDescent="0.2">
      <c r="A121" s="6">
        <v>109</v>
      </c>
      <c r="B121" s="7" t="s">
        <v>355</v>
      </c>
      <c r="C121" s="6" t="s">
        <v>356</v>
      </c>
      <c r="D121" s="6" t="s">
        <v>52</v>
      </c>
      <c r="E121" s="6">
        <v>1967</v>
      </c>
      <c r="F121" s="7" t="s">
        <v>357</v>
      </c>
      <c r="G121" s="6" t="s">
        <v>46</v>
      </c>
      <c r="H121" s="8">
        <v>384.2</v>
      </c>
      <c r="I121" s="8">
        <v>207.3</v>
      </c>
      <c r="J121" s="9">
        <v>1.8533526290400399</v>
      </c>
      <c r="K121" s="10">
        <v>0.105402797877472</v>
      </c>
      <c r="L121" s="10">
        <v>8.1784386617100496E-2</v>
      </c>
      <c r="M121" s="10">
        <v>7.4433656957929001E-2</v>
      </c>
      <c r="N121" s="11">
        <v>1</v>
      </c>
      <c r="O121" s="11">
        <v>1</v>
      </c>
      <c r="P121" s="10">
        <v>0.95</v>
      </c>
      <c r="Q121" s="12">
        <v>75.681205127494195</v>
      </c>
    </row>
    <row r="122" spans="1:17" ht="30" x14ac:dyDescent="0.2">
      <c r="A122" s="6">
        <v>110</v>
      </c>
      <c r="B122" s="7" t="s">
        <v>358</v>
      </c>
      <c r="C122" s="6" t="s">
        <v>359</v>
      </c>
      <c r="D122" s="6" t="s">
        <v>27</v>
      </c>
      <c r="E122" s="6">
        <v>1956</v>
      </c>
      <c r="F122" s="7" t="s">
        <v>360</v>
      </c>
      <c r="G122" s="6" t="s">
        <v>33</v>
      </c>
      <c r="H122" s="8">
        <v>1086</v>
      </c>
      <c r="I122" s="8">
        <v>1789.1</v>
      </c>
      <c r="J122" s="9">
        <v>0.60700911072606301</v>
      </c>
      <c r="K122" s="10">
        <v>4.2493432452070899E-2</v>
      </c>
      <c r="L122" s="10">
        <v>0.23910492792490801</v>
      </c>
      <c r="M122" s="10">
        <v>-6.11814345991561E-2</v>
      </c>
      <c r="N122" s="11">
        <v>0.9</v>
      </c>
      <c r="O122" s="11">
        <v>0.88888888888888895</v>
      </c>
      <c r="P122" s="10">
        <v>0.39410000000000001</v>
      </c>
      <c r="Q122" s="12">
        <v>75.658497650955297</v>
      </c>
    </row>
    <row r="123" spans="1:17" ht="30" x14ac:dyDescent="0.2">
      <c r="A123" s="6">
        <v>111</v>
      </c>
      <c r="B123" s="7" t="s">
        <v>361</v>
      </c>
      <c r="C123" s="6" t="s">
        <v>362</v>
      </c>
      <c r="D123" s="6" t="s">
        <v>52</v>
      </c>
      <c r="E123" s="6">
        <v>1914</v>
      </c>
      <c r="F123" s="7" t="s">
        <v>363</v>
      </c>
      <c r="G123" s="6" t="s">
        <v>29</v>
      </c>
      <c r="H123" s="8">
        <v>48.2</v>
      </c>
      <c r="I123" s="8">
        <v>50</v>
      </c>
      <c r="J123" s="9">
        <v>0.96399999999999997</v>
      </c>
      <c r="K123" s="10">
        <v>0.12075</v>
      </c>
      <c r="L123" s="10">
        <v>2.0398009950248799</v>
      </c>
      <c r="M123" s="10">
        <v>-7.22021660649817E-3</v>
      </c>
      <c r="N123" s="11">
        <v>0.6</v>
      </c>
      <c r="O123" s="11">
        <v>0.6</v>
      </c>
      <c r="P123" s="10">
        <v>0.34</v>
      </c>
      <c r="Q123" s="12">
        <v>75.635130463514102</v>
      </c>
    </row>
    <row r="124" spans="1:17" ht="45" x14ac:dyDescent="0.2">
      <c r="A124" s="6">
        <v>112</v>
      </c>
      <c r="B124" s="7" t="s">
        <v>364</v>
      </c>
      <c r="C124" s="6" t="s">
        <v>365</v>
      </c>
      <c r="D124" s="6" t="s">
        <v>27</v>
      </c>
      <c r="E124" s="6">
        <v>1927</v>
      </c>
      <c r="F124" s="7" t="s">
        <v>366</v>
      </c>
      <c r="G124" s="6" t="s">
        <v>46</v>
      </c>
      <c r="H124" s="8">
        <v>235.1</v>
      </c>
      <c r="I124" s="8">
        <v>173.2</v>
      </c>
      <c r="J124" s="9">
        <v>1.35739030023095</v>
      </c>
      <c r="K124" s="10">
        <v>7.8709584295612006E-2</v>
      </c>
      <c r="L124" s="10">
        <v>0.39895165987186998</v>
      </c>
      <c r="M124" s="10">
        <v>-2.7972027972028E-2</v>
      </c>
      <c r="N124" s="11">
        <v>1</v>
      </c>
      <c r="O124" s="11">
        <v>1</v>
      </c>
      <c r="P124" s="10">
        <v>0.36499999999999999</v>
      </c>
      <c r="Q124" s="12">
        <v>75.556305285766598</v>
      </c>
    </row>
    <row r="125" spans="1:17" ht="30" x14ac:dyDescent="0.2">
      <c r="A125" s="6">
        <v>113</v>
      </c>
      <c r="B125" s="7" t="s">
        <v>367</v>
      </c>
      <c r="C125" s="6" t="s">
        <v>368</v>
      </c>
      <c r="D125" s="6" t="s">
        <v>27</v>
      </c>
      <c r="E125" s="6"/>
      <c r="F125" s="7" t="s">
        <v>369</v>
      </c>
      <c r="G125" s="6" t="s">
        <v>33</v>
      </c>
      <c r="H125" s="8">
        <v>118.8</v>
      </c>
      <c r="I125" s="8">
        <v>121.5</v>
      </c>
      <c r="J125" s="9">
        <v>0.97777777777777797</v>
      </c>
      <c r="K125" s="10">
        <v>9.6707818930041198E-2</v>
      </c>
      <c r="L125" s="10">
        <v>1.0037037037037</v>
      </c>
      <c r="M125" s="10">
        <v>-3.5343035343035303E-2</v>
      </c>
      <c r="N125" s="11">
        <v>1</v>
      </c>
      <c r="O125" s="11">
        <v>1</v>
      </c>
      <c r="P125" s="10">
        <v>0</v>
      </c>
      <c r="Q125" s="12">
        <v>75.525177690852601</v>
      </c>
    </row>
    <row r="126" spans="1:17" ht="30" x14ac:dyDescent="0.2">
      <c r="A126" s="6">
        <v>114</v>
      </c>
      <c r="B126" s="7" t="s">
        <v>370</v>
      </c>
      <c r="C126" s="6" t="s">
        <v>371</v>
      </c>
      <c r="D126" s="6" t="s">
        <v>52</v>
      </c>
      <c r="E126" s="6"/>
      <c r="F126" s="7" t="s">
        <v>372</v>
      </c>
      <c r="G126" s="6" t="s">
        <v>29</v>
      </c>
      <c r="H126" s="8">
        <v>176.8</v>
      </c>
      <c r="I126" s="8">
        <v>87.1</v>
      </c>
      <c r="J126" s="9">
        <v>2.0298507462686599</v>
      </c>
      <c r="K126" s="10">
        <v>0.15688863375430501</v>
      </c>
      <c r="L126" s="10">
        <v>0.22754491017964101</v>
      </c>
      <c r="M126" s="10">
        <v>-0.157894736842105</v>
      </c>
      <c r="N126" s="11">
        <v>1</v>
      </c>
      <c r="O126" s="11">
        <v>1</v>
      </c>
      <c r="P126" s="10">
        <v>0.41</v>
      </c>
      <c r="Q126" s="12">
        <v>75.516579062101201</v>
      </c>
    </row>
    <row r="127" spans="1:17" ht="30" x14ac:dyDescent="0.2">
      <c r="A127" s="6">
        <v>115</v>
      </c>
      <c r="B127" s="7" t="s">
        <v>373</v>
      </c>
      <c r="C127" s="6" t="s">
        <v>374</v>
      </c>
      <c r="D127" s="6" t="s">
        <v>27</v>
      </c>
      <c r="E127" s="6">
        <v>1998</v>
      </c>
      <c r="F127" s="7" t="s">
        <v>375</v>
      </c>
      <c r="G127" s="6" t="s">
        <v>33</v>
      </c>
      <c r="H127" s="8">
        <v>560.20000000000005</v>
      </c>
      <c r="I127" s="8">
        <v>948.8</v>
      </c>
      <c r="J127" s="9">
        <v>0.59043001686340701</v>
      </c>
      <c r="K127" s="10">
        <v>7.1089797639123098E-2</v>
      </c>
      <c r="L127" s="10">
        <v>1.3474084450670401</v>
      </c>
      <c r="M127" s="10">
        <v>-0.120481927710843</v>
      </c>
      <c r="N127" s="11">
        <v>0.9</v>
      </c>
      <c r="O127" s="11">
        <v>0.6</v>
      </c>
      <c r="P127" s="10">
        <v>0.2</v>
      </c>
      <c r="Q127" s="12">
        <v>75.504864223783102</v>
      </c>
    </row>
    <row r="128" spans="1:17" ht="45" x14ac:dyDescent="0.2">
      <c r="A128" s="6">
        <v>116</v>
      </c>
      <c r="B128" s="7" t="s">
        <v>376</v>
      </c>
      <c r="C128" s="6" t="s">
        <v>377</v>
      </c>
      <c r="D128" s="6" t="s">
        <v>27</v>
      </c>
      <c r="E128" s="6">
        <v>1951</v>
      </c>
      <c r="F128" s="7" t="s">
        <v>378</v>
      </c>
      <c r="G128" s="6" t="s">
        <v>33</v>
      </c>
      <c r="H128" s="8">
        <v>575.6</v>
      </c>
      <c r="I128" s="8">
        <v>916</v>
      </c>
      <c r="J128" s="9">
        <v>0.62838427947598297</v>
      </c>
      <c r="K128" s="10">
        <v>8.6217248908296906E-2</v>
      </c>
      <c r="L128" s="10">
        <v>0.50375345713156905</v>
      </c>
      <c r="M128" s="10">
        <v>-0.109756097560976</v>
      </c>
      <c r="N128" s="11">
        <v>0.9</v>
      </c>
      <c r="O128" s="11">
        <v>1</v>
      </c>
      <c r="P128" s="10">
        <v>0.2</v>
      </c>
      <c r="Q128" s="12">
        <v>75.317215430583005</v>
      </c>
    </row>
    <row r="129" spans="1:17" ht="30" x14ac:dyDescent="0.2">
      <c r="A129" s="6">
        <v>117</v>
      </c>
      <c r="B129" s="7" t="s">
        <v>379</v>
      </c>
      <c r="C129" s="6" t="s">
        <v>380</v>
      </c>
      <c r="D129" s="6" t="s">
        <v>27</v>
      </c>
      <c r="E129" s="6"/>
      <c r="F129" s="7" t="s">
        <v>381</v>
      </c>
      <c r="G129" s="6" t="s">
        <v>33</v>
      </c>
      <c r="H129" s="8">
        <v>321.2</v>
      </c>
      <c r="I129" s="8">
        <v>324.5</v>
      </c>
      <c r="J129" s="9">
        <v>0.98983050847457599</v>
      </c>
      <c r="K129" s="10">
        <v>0.104468412942989</v>
      </c>
      <c r="L129" s="10">
        <v>1.10899182561308</v>
      </c>
      <c r="M129" s="10">
        <v>3.4482758620689703E-2</v>
      </c>
      <c r="N129" s="11">
        <v>1</v>
      </c>
      <c r="O129" s="11">
        <v>1</v>
      </c>
      <c r="P129" s="10">
        <v>0</v>
      </c>
      <c r="Q129" s="12">
        <v>75.286122979062398</v>
      </c>
    </row>
    <row r="130" spans="1:17" ht="45" x14ac:dyDescent="0.2">
      <c r="A130" s="6">
        <v>118</v>
      </c>
      <c r="B130" s="7" t="s">
        <v>382</v>
      </c>
      <c r="C130" s="6" t="s">
        <v>383</v>
      </c>
      <c r="D130" s="6" t="s">
        <v>27</v>
      </c>
      <c r="E130" s="6"/>
      <c r="F130" s="7" t="s">
        <v>384</v>
      </c>
      <c r="G130" s="6" t="s">
        <v>75</v>
      </c>
      <c r="H130" s="8">
        <v>305.60000000000002</v>
      </c>
      <c r="I130" s="8">
        <v>927.4</v>
      </c>
      <c r="J130" s="9">
        <v>0.32952339874919101</v>
      </c>
      <c r="K130" s="10">
        <v>-2.4153547552296699E-2</v>
      </c>
      <c r="L130" s="10">
        <v>1.0655441972339199</v>
      </c>
      <c r="M130" s="10">
        <v>0.120481927710843</v>
      </c>
      <c r="N130" s="11">
        <v>0.5</v>
      </c>
      <c r="O130" s="11">
        <v>1</v>
      </c>
      <c r="P130" s="10">
        <v>0.47</v>
      </c>
      <c r="Q130" s="12">
        <v>75.261462446462005</v>
      </c>
    </row>
    <row r="131" spans="1:17" ht="30" x14ac:dyDescent="0.2">
      <c r="A131" s="6">
        <v>119</v>
      </c>
      <c r="B131" s="7" t="s">
        <v>385</v>
      </c>
      <c r="C131" s="6" t="s">
        <v>386</v>
      </c>
      <c r="D131" s="6" t="s">
        <v>27</v>
      </c>
      <c r="E131" s="6"/>
      <c r="F131" s="7" t="s">
        <v>387</v>
      </c>
      <c r="G131" s="6" t="s">
        <v>33</v>
      </c>
      <c r="H131" s="8">
        <v>167.6</v>
      </c>
      <c r="I131" s="8">
        <v>263.10000000000002</v>
      </c>
      <c r="J131" s="9">
        <v>0.63702014443177502</v>
      </c>
      <c r="K131" s="10">
        <v>9.2132269099201802E-2</v>
      </c>
      <c r="L131" s="10">
        <v>1.09286775631501</v>
      </c>
      <c r="M131" s="10">
        <v>-0.12745098039215699</v>
      </c>
      <c r="N131" s="11">
        <v>0.9</v>
      </c>
      <c r="O131" s="11">
        <v>1</v>
      </c>
      <c r="P131" s="10">
        <v>0</v>
      </c>
      <c r="Q131" s="12">
        <v>75.128647471707097</v>
      </c>
    </row>
    <row r="132" spans="1:17" ht="30" x14ac:dyDescent="0.2">
      <c r="A132" s="6">
        <v>120</v>
      </c>
      <c r="B132" s="7" t="s">
        <v>388</v>
      </c>
      <c r="C132" s="6" t="s">
        <v>389</v>
      </c>
      <c r="D132" s="6" t="s">
        <v>52</v>
      </c>
      <c r="E132" s="6">
        <v>1962</v>
      </c>
      <c r="F132" s="7" t="s">
        <v>390</v>
      </c>
      <c r="G132" s="6" t="s">
        <v>46</v>
      </c>
      <c r="H132" s="8">
        <v>1145.9000000000001</v>
      </c>
      <c r="I132" s="8">
        <v>915.3</v>
      </c>
      <c r="J132" s="9">
        <v>1.25193925488911</v>
      </c>
      <c r="K132" s="10">
        <v>0.160674095924833</v>
      </c>
      <c r="L132" s="10">
        <v>1.5525070955534499</v>
      </c>
      <c r="M132" s="10">
        <v>-0.18874172185430499</v>
      </c>
      <c r="N132" s="11">
        <v>0.8</v>
      </c>
      <c r="O132" s="11">
        <v>1</v>
      </c>
      <c r="P132" s="10">
        <v>0</v>
      </c>
      <c r="Q132" s="12">
        <v>75.099453093955205</v>
      </c>
    </row>
    <row r="133" spans="1:17" ht="30" x14ac:dyDescent="0.2">
      <c r="A133" s="6">
        <v>121</v>
      </c>
      <c r="B133" s="7" t="s">
        <v>391</v>
      </c>
      <c r="C133" s="6" t="s">
        <v>392</v>
      </c>
      <c r="D133" s="6" t="s">
        <v>27</v>
      </c>
      <c r="E133" s="6">
        <v>2007</v>
      </c>
      <c r="F133" s="7" t="s">
        <v>393</v>
      </c>
      <c r="G133" s="6" t="s">
        <v>46</v>
      </c>
      <c r="H133" s="8">
        <v>95.5</v>
      </c>
      <c r="I133" s="8">
        <v>80</v>
      </c>
      <c r="J133" s="9">
        <v>1.1937500000000001</v>
      </c>
      <c r="K133" s="10">
        <v>0.10818750000000001</v>
      </c>
      <c r="L133" s="10">
        <v>1.1741071428571399</v>
      </c>
      <c r="M133" s="10">
        <v>-5.8091286307053999E-2</v>
      </c>
      <c r="N133" s="11">
        <v>1</v>
      </c>
      <c r="O133" s="11">
        <v>1</v>
      </c>
      <c r="P133" s="10">
        <v>0</v>
      </c>
      <c r="Q133" s="12">
        <v>74.920627376182594</v>
      </c>
    </row>
    <row r="134" spans="1:17" ht="45" x14ac:dyDescent="0.2">
      <c r="A134" s="6">
        <v>122</v>
      </c>
      <c r="B134" s="7" t="s">
        <v>394</v>
      </c>
      <c r="C134" s="6" t="s">
        <v>395</v>
      </c>
      <c r="D134" s="6" t="s">
        <v>27</v>
      </c>
      <c r="E134" s="6">
        <v>2014</v>
      </c>
      <c r="F134" s="7" t="s">
        <v>396</v>
      </c>
      <c r="G134" s="6" t="s">
        <v>46</v>
      </c>
      <c r="H134" s="8">
        <v>255.2</v>
      </c>
      <c r="I134" s="8">
        <v>184.8</v>
      </c>
      <c r="J134" s="9">
        <v>1.38095238095238</v>
      </c>
      <c r="K134" s="10">
        <v>0.15936147186147201</v>
      </c>
      <c r="L134" s="10">
        <v>6.2635658914728696</v>
      </c>
      <c r="M134" s="10">
        <v>0.12</v>
      </c>
      <c r="N134" s="11">
        <v>1</v>
      </c>
      <c r="O134" s="11">
        <v>1</v>
      </c>
      <c r="P134" s="10">
        <v>0</v>
      </c>
      <c r="Q134" s="12">
        <v>74.771040723981898</v>
      </c>
    </row>
    <row r="135" spans="1:17" ht="30" x14ac:dyDescent="0.2">
      <c r="A135" s="6">
        <v>123</v>
      </c>
      <c r="B135" s="7" t="s">
        <v>397</v>
      </c>
      <c r="C135" s="6" t="s">
        <v>398</v>
      </c>
      <c r="D135" s="6" t="s">
        <v>27</v>
      </c>
      <c r="E135" s="6">
        <v>1923</v>
      </c>
      <c r="F135" s="7" t="s">
        <v>399</v>
      </c>
      <c r="G135" s="6" t="s">
        <v>33</v>
      </c>
      <c r="H135" s="8">
        <v>113.2</v>
      </c>
      <c r="I135" s="8">
        <v>200.5</v>
      </c>
      <c r="J135" s="9">
        <v>0.564588528678304</v>
      </c>
      <c r="K135" s="10">
        <v>5.4750623441396501E-2</v>
      </c>
      <c r="L135" s="10">
        <v>0.912337662337662</v>
      </c>
      <c r="M135" s="10">
        <v>-2.76923076923077E-2</v>
      </c>
      <c r="N135" s="11">
        <v>1</v>
      </c>
      <c r="O135" s="11">
        <v>1</v>
      </c>
      <c r="P135" s="10">
        <v>0</v>
      </c>
      <c r="Q135" s="12">
        <v>74.728556328794994</v>
      </c>
    </row>
    <row r="136" spans="1:17" ht="30" x14ac:dyDescent="0.2">
      <c r="A136" s="6">
        <v>124</v>
      </c>
      <c r="B136" s="7" t="s">
        <v>400</v>
      </c>
      <c r="C136" s="6" t="s">
        <v>401</v>
      </c>
      <c r="D136" s="6" t="s">
        <v>27</v>
      </c>
      <c r="E136" s="6"/>
      <c r="F136" s="7" t="s">
        <v>402</v>
      </c>
      <c r="G136" s="6" t="s">
        <v>33</v>
      </c>
      <c r="H136" s="8">
        <v>545.5</v>
      </c>
      <c r="I136" s="8">
        <v>815.2</v>
      </c>
      <c r="J136" s="9">
        <v>0.66916094210009802</v>
      </c>
      <c r="K136" s="10">
        <v>9.8104759568204095E-2</v>
      </c>
      <c r="L136" s="10">
        <v>0.27754930759546798</v>
      </c>
      <c r="M136" s="10">
        <v>-0.104918032786885</v>
      </c>
      <c r="N136" s="11">
        <v>1</v>
      </c>
      <c r="O136" s="11">
        <v>1</v>
      </c>
      <c r="P136" s="10">
        <v>0.13400000000000001</v>
      </c>
      <c r="Q136" s="12">
        <v>74.586207195001094</v>
      </c>
    </row>
    <row r="137" spans="1:17" ht="30" x14ac:dyDescent="0.2">
      <c r="A137" s="6">
        <v>125</v>
      </c>
      <c r="B137" s="7" t="s">
        <v>403</v>
      </c>
      <c r="C137" s="6" t="s">
        <v>404</v>
      </c>
      <c r="D137" s="6" t="s">
        <v>27</v>
      </c>
      <c r="E137" s="6">
        <v>1923</v>
      </c>
      <c r="F137" s="7" t="s">
        <v>405</v>
      </c>
      <c r="G137" s="6" t="s">
        <v>46</v>
      </c>
      <c r="H137" s="8">
        <v>1133.5</v>
      </c>
      <c r="I137" s="8">
        <v>794.5</v>
      </c>
      <c r="J137" s="9">
        <v>1.4266834487098801</v>
      </c>
      <c r="K137" s="10">
        <v>0.119666456891127</v>
      </c>
      <c r="L137" s="10">
        <v>1.2</v>
      </c>
      <c r="M137" s="10">
        <v>8.8967971530249101E-2</v>
      </c>
      <c r="N137" s="11">
        <v>1</v>
      </c>
      <c r="O137" s="11">
        <v>1</v>
      </c>
      <c r="P137" s="10">
        <v>0</v>
      </c>
      <c r="Q137" s="12">
        <v>74.553439194677495</v>
      </c>
    </row>
    <row r="138" spans="1:17" ht="30" x14ac:dyDescent="0.2">
      <c r="A138" s="6">
        <v>126</v>
      </c>
      <c r="B138" s="7" t="s">
        <v>406</v>
      </c>
      <c r="C138" s="6" t="s">
        <v>407</v>
      </c>
      <c r="D138" s="6" t="s">
        <v>27</v>
      </c>
      <c r="E138" s="6">
        <v>1986</v>
      </c>
      <c r="F138" s="7" t="s">
        <v>408</v>
      </c>
      <c r="G138" s="6" t="s">
        <v>33</v>
      </c>
      <c r="H138" s="8">
        <v>214.1</v>
      </c>
      <c r="I138" s="8">
        <v>508</v>
      </c>
      <c r="J138" s="9">
        <v>0.421456692913386</v>
      </c>
      <c r="K138" s="10">
        <v>8.7499999999999994E-2</v>
      </c>
      <c r="L138" s="10">
        <v>12.8549019607843</v>
      </c>
      <c r="M138" s="10">
        <v>0</v>
      </c>
      <c r="N138" s="11">
        <v>0.7</v>
      </c>
      <c r="O138" s="11">
        <v>1</v>
      </c>
      <c r="P138" s="10">
        <v>0</v>
      </c>
      <c r="Q138" s="12">
        <v>74.544494720965304</v>
      </c>
    </row>
    <row r="139" spans="1:17" ht="45" x14ac:dyDescent="0.2">
      <c r="A139" s="6">
        <v>127</v>
      </c>
      <c r="B139" s="7" t="s">
        <v>409</v>
      </c>
      <c r="C139" s="6" t="s">
        <v>410</v>
      </c>
      <c r="D139" s="6" t="s">
        <v>27</v>
      </c>
      <c r="E139" s="6">
        <v>2002</v>
      </c>
      <c r="F139" s="7" t="s">
        <v>411</v>
      </c>
      <c r="G139" s="6" t="s">
        <v>75</v>
      </c>
      <c r="H139" s="8">
        <v>1017.2</v>
      </c>
      <c r="I139" s="8">
        <v>294.8</v>
      </c>
      <c r="J139" s="9">
        <v>3.4504748982360902</v>
      </c>
      <c r="K139" s="10">
        <v>-9.7184531886024397E-2</v>
      </c>
      <c r="L139" s="10">
        <v>1.0725007984669399</v>
      </c>
      <c r="M139" s="10">
        <v>0.15432098765432101</v>
      </c>
      <c r="N139" s="11">
        <v>0.8</v>
      </c>
      <c r="O139" s="11">
        <v>1</v>
      </c>
      <c r="P139" s="10">
        <v>0.54279999999999995</v>
      </c>
      <c r="Q139" s="12">
        <v>74.499778027470597</v>
      </c>
    </row>
    <row r="140" spans="1:17" ht="30" x14ac:dyDescent="0.2">
      <c r="A140" s="6">
        <v>128</v>
      </c>
      <c r="B140" s="7" t="s">
        <v>412</v>
      </c>
      <c r="C140" s="6" t="s">
        <v>413</v>
      </c>
      <c r="D140" s="6" t="s">
        <v>27</v>
      </c>
      <c r="E140" s="6">
        <v>1974</v>
      </c>
      <c r="F140" s="7" t="s">
        <v>414</v>
      </c>
      <c r="G140" s="6" t="s">
        <v>33</v>
      </c>
      <c r="H140" s="8">
        <v>77.8</v>
      </c>
      <c r="I140" s="8">
        <v>80</v>
      </c>
      <c r="J140" s="9">
        <v>0.97250000000000003</v>
      </c>
      <c r="K140" s="10">
        <v>0.10890625</v>
      </c>
      <c r="L140" s="10">
        <v>0.82014388489208601</v>
      </c>
      <c r="M140" s="10">
        <v>-3.6529680365296802E-2</v>
      </c>
      <c r="N140" s="11">
        <v>1</v>
      </c>
      <c r="O140" s="11">
        <v>1</v>
      </c>
      <c r="P140" s="10">
        <v>0</v>
      </c>
      <c r="Q140" s="12">
        <v>74.380013186939905</v>
      </c>
    </row>
    <row r="141" spans="1:17" ht="30" x14ac:dyDescent="0.2">
      <c r="A141" s="6">
        <v>129</v>
      </c>
      <c r="B141" s="7" t="s">
        <v>415</v>
      </c>
      <c r="C141" s="6" t="s">
        <v>416</v>
      </c>
      <c r="D141" s="6" t="s">
        <v>27</v>
      </c>
      <c r="E141" s="6">
        <v>1934</v>
      </c>
      <c r="F141" s="7" t="s">
        <v>417</v>
      </c>
      <c r="G141" s="6" t="s">
        <v>46</v>
      </c>
      <c r="H141" s="8">
        <v>35.9</v>
      </c>
      <c r="I141" s="8">
        <v>22.6</v>
      </c>
      <c r="J141" s="9">
        <v>1.58849557522124</v>
      </c>
      <c r="K141" s="10">
        <v>0.19070796460177</v>
      </c>
      <c r="L141" s="10">
        <v>0.64465786314525797</v>
      </c>
      <c r="M141" s="10">
        <v>-0.25083333333333302</v>
      </c>
      <c r="N141" s="11">
        <v>1</v>
      </c>
      <c r="O141" s="11">
        <v>1</v>
      </c>
      <c r="P141" s="10">
        <v>0</v>
      </c>
      <c r="Q141" s="12">
        <v>74.337167883063103</v>
      </c>
    </row>
    <row r="142" spans="1:17" ht="30" x14ac:dyDescent="0.2">
      <c r="A142" s="6">
        <v>130</v>
      </c>
      <c r="B142" s="7" t="s">
        <v>418</v>
      </c>
      <c r="C142" s="6" t="s">
        <v>419</v>
      </c>
      <c r="D142" s="6" t="s">
        <v>27</v>
      </c>
      <c r="E142" s="6"/>
      <c r="F142" s="7" t="s">
        <v>420</v>
      </c>
      <c r="G142" s="6" t="s">
        <v>46</v>
      </c>
      <c r="H142" s="8">
        <v>241.8</v>
      </c>
      <c r="I142" s="8">
        <v>116.6</v>
      </c>
      <c r="J142" s="9">
        <v>2.0737564322469999</v>
      </c>
      <c r="K142" s="10">
        <v>0.158876500857633</v>
      </c>
      <c r="L142" s="10">
        <v>1.78817733990148</v>
      </c>
      <c r="M142" s="10">
        <v>7.6628352490421506E-2</v>
      </c>
      <c r="N142" s="11">
        <v>1</v>
      </c>
      <c r="O142" s="11">
        <v>1</v>
      </c>
      <c r="P142" s="10">
        <v>0</v>
      </c>
      <c r="Q142" s="12">
        <v>74.321721826993695</v>
      </c>
    </row>
    <row r="143" spans="1:17" ht="30" x14ac:dyDescent="0.2">
      <c r="A143" s="6">
        <v>131</v>
      </c>
      <c r="B143" s="7" t="s">
        <v>421</v>
      </c>
      <c r="C143" s="6" t="s">
        <v>422</v>
      </c>
      <c r="D143" s="6" t="s">
        <v>52</v>
      </c>
      <c r="E143" s="6">
        <v>1999</v>
      </c>
      <c r="F143" s="7" t="s">
        <v>423</v>
      </c>
      <c r="G143" s="6" t="s">
        <v>33</v>
      </c>
      <c r="H143" s="8">
        <v>160.19999999999999</v>
      </c>
      <c r="I143" s="8">
        <v>380.7</v>
      </c>
      <c r="J143" s="9">
        <v>0.42080378250591</v>
      </c>
      <c r="K143" s="10">
        <v>5.7125032834252701E-2</v>
      </c>
      <c r="L143" s="10">
        <v>0.32439228834870099</v>
      </c>
      <c r="M143" s="10">
        <v>9.9099099099099197E-2</v>
      </c>
      <c r="N143" s="11">
        <v>0.7</v>
      </c>
      <c r="O143" s="11">
        <v>1</v>
      </c>
      <c r="P143" s="10">
        <v>0.36</v>
      </c>
      <c r="Q143" s="12">
        <v>74.302068674059996</v>
      </c>
    </row>
    <row r="144" spans="1:17" ht="30" x14ac:dyDescent="0.2">
      <c r="A144" s="6">
        <v>132</v>
      </c>
      <c r="B144" s="7" t="s">
        <v>424</v>
      </c>
      <c r="C144" s="6" t="s">
        <v>425</v>
      </c>
      <c r="D144" s="6" t="s">
        <v>52</v>
      </c>
      <c r="E144" s="6">
        <v>1899</v>
      </c>
      <c r="F144" s="7" t="s">
        <v>426</v>
      </c>
      <c r="G144" s="6" t="s">
        <v>33</v>
      </c>
      <c r="H144" s="8">
        <v>325.2</v>
      </c>
      <c r="I144" s="8">
        <v>409</v>
      </c>
      <c r="J144" s="9">
        <v>0.79511002444987799</v>
      </c>
      <c r="K144" s="10">
        <v>0.1119804400978</v>
      </c>
      <c r="L144" s="10">
        <v>7.5287958115183296E-2</v>
      </c>
      <c r="M144" s="10">
        <v>-4.1666666666666699E-2</v>
      </c>
      <c r="N144" s="11">
        <v>1</v>
      </c>
      <c r="O144" s="11">
        <v>0.8</v>
      </c>
      <c r="P144" s="10">
        <v>0.19333457202698201</v>
      </c>
      <c r="Q144" s="12">
        <v>74.241138844447207</v>
      </c>
    </row>
    <row r="145" spans="1:17" ht="30" x14ac:dyDescent="0.2">
      <c r="A145" s="6">
        <v>133</v>
      </c>
      <c r="B145" s="7" t="s">
        <v>427</v>
      </c>
      <c r="C145" s="6" t="s">
        <v>428</v>
      </c>
      <c r="D145" s="6" t="s">
        <v>27</v>
      </c>
      <c r="E145" s="6">
        <v>1901</v>
      </c>
      <c r="F145" s="7" t="s">
        <v>429</v>
      </c>
      <c r="G145" s="6" t="s">
        <v>46</v>
      </c>
      <c r="H145" s="8">
        <v>885.1</v>
      </c>
      <c r="I145" s="8">
        <v>725</v>
      </c>
      <c r="J145" s="9">
        <v>1.2208275862069</v>
      </c>
      <c r="K145" s="10">
        <v>0.13944827586206901</v>
      </c>
      <c r="L145" s="10">
        <v>1.05141657922351</v>
      </c>
      <c r="M145" s="10">
        <v>-7.3170731707317097E-2</v>
      </c>
      <c r="N145" s="11">
        <v>1</v>
      </c>
      <c r="O145" s="11">
        <v>1</v>
      </c>
      <c r="P145" s="10">
        <v>0</v>
      </c>
      <c r="Q145" s="12">
        <v>74.234280922856996</v>
      </c>
    </row>
    <row r="146" spans="1:17" ht="30" x14ac:dyDescent="0.2">
      <c r="A146" s="6">
        <v>134</v>
      </c>
      <c r="B146" s="7" t="s">
        <v>430</v>
      </c>
      <c r="C146" s="6" t="s">
        <v>431</v>
      </c>
      <c r="D146" s="6" t="s">
        <v>52</v>
      </c>
      <c r="E146" s="6"/>
      <c r="F146" s="7" t="s">
        <v>432</v>
      </c>
      <c r="G146" s="6" t="s">
        <v>46</v>
      </c>
      <c r="H146" s="8">
        <v>725</v>
      </c>
      <c r="I146" s="8">
        <v>344.3</v>
      </c>
      <c r="J146" s="9">
        <v>2.1057217542840601</v>
      </c>
      <c r="K146" s="10">
        <v>0.200842288701714</v>
      </c>
      <c r="L146" s="10">
        <v>1.5611390284757101</v>
      </c>
      <c r="M146" s="10">
        <v>-6.87203791469196E-2</v>
      </c>
      <c r="N146" s="11">
        <v>0.9</v>
      </c>
      <c r="O146" s="11">
        <v>1</v>
      </c>
      <c r="P146" s="10">
        <v>0</v>
      </c>
      <c r="Q146" s="12">
        <v>74.225526139096601</v>
      </c>
    </row>
    <row r="147" spans="1:17" ht="30" x14ac:dyDescent="0.2">
      <c r="A147" s="6">
        <v>135</v>
      </c>
      <c r="B147" s="7" t="s">
        <v>433</v>
      </c>
      <c r="C147" s="6" t="s">
        <v>434</v>
      </c>
      <c r="D147" s="6" t="s">
        <v>27</v>
      </c>
      <c r="E147" s="6">
        <v>1869</v>
      </c>
      <c r="F147" s="7" t="s">
        <v>435</v>
      </c>
      <c r="G147" s="6" t="s">
        <v>46</v>
      </c>
      <c r="H147" s="8">
        <v>311.60000000000002</v>
      </c>
      <c r="I147" s="8">
        <v>283.10000000000002</v>
      </c>
      <c r="J147" s="9">
        <v>1.1006711409395999</v>
      </c>
      <c r="K147" s="10">
        <v>0.11471211586012001</v>
      </c>
      <c r="L147" s="10">
        <v>0.72676579925650597</v>
      </c>
      <c r="M147" s="10">
        <v>3.7037037037036903E-2</v>
      </c>
      <c r="N147" s="11">
        <v>1</v>
      </c>
      <c r="O147" s="11">
        <v>1</v>
      </c>
      <c r="P147" s="10">
        <v>0</v>
      </c>
      <c r="Q147" s="12">
        <v>74.119429390398196</v>
      </c>
    </row>
    <row r="148" spans="1:17" ht="45" x14ac:dyDescent="0.2">
      <c r="A148" s="6">
        <v>136</v>
      </c>
      <c r="B148" s="7" t="s">
        <v>436</v>
      </c>
      <c r="C148" s="6" t="s">
        <v>437</v>
      </c>
      <c r="D148" s="6" t="s">
        <v>27</v>
      </c>
      <c r="E148" s="6">
        <v>1997</v>
      </c>
      <c r="F148" s="7" t="s">
        <v>438</v>
      </c>
      <c r="G148" s="6" t="s">
        <v>29</v>
      </c>
      <c r="H148" s="8">
        <v>488.6</v>
      </c>
      <c r="I148" s="8">
        <v>155</v>
      </c>
      <c r="J148" s="9">
        <v>3.15225806451613</v>
      </c>
      <c r="K148" s="10">
        <v>0.33032258064516101</v>
      </c>
      <c r="L148" s="10">
        <v>0.47207557654904098</v>
      </c>
      <c r="M148" s="10">
        <v>-0.16560509554140099</v>
      </c>
      <c r="N148" s="11">
        <v>0.7</v>
      </c>
      <c r="O148" s="11">
        <v>0.88888888888888895</v>
      </c>
      <c r="P148" s="10">
        <v>0.39</v>
      </c>
      <c r="Q148" s="12">
        <v>73.9726168558837</v>
      </c>
    </row>
    <row r="149" spans="1:17" ht="30" x14ac:dyDescent="0.2">
      <c r="A149" s="6">
        <v>137</v>
      </c>
      <c r="B149" s="7" t="s">
        <v>439</v>
      </c>
      <c r="C149" s="6" t="s">
        <v>440</v>
      </c>
      <c r="D149" s="6" t="s">
        <v>27</v>
      </c>
      <c r="E149" s="6">
        <v>1924</v>
      </c>
      <c r="F149" s="7" t="s">
        <v>441</v>
      </c>
      <c r="G149" s="6" t="s">
        <v>33</v>
      </c>
      <c r="H149" s="8">
        <v>284.3</v>
      </c>
      <c r="I149" s="8">
        <v>567</v>
      </c>
      <c r="J149" s="9">
        <v>0.50141093474426801</v>
      </c>
      <c r="K149" s="10">
        <v>2.18253968253968E-2</v>
      </c>
      <c r="L149" s="10">
        <v>0.20551266825019801</v>
      </c>
      <c r="M149" s="10">
        <v>-0.475247524752475</v>
      </c>
      <c r="N149" s="11">
        <v>0.5</v>
      </c>
      <c r="O149" s="11">
        <v>0.88888888888888895</v>
      </c>
      <c r="P149" s="10">
        <v>0.41299999999999998</v>
      </c>
      <c r="Q149" s="12">
        <v>73.799066106101904</v>
      </c>
    </row>
    <row r="150" spans="1:17" ht="30" x14ac:dyDescent="0.2">
      <c r="A150" s="6">
        <v>138</v>
      </c>
      <c r="B150" s="7" t="s">
        <v>442</v>
      </c>
      <c r="C150" s="6" t="s">
        <v>443</v>
      </c>
      <c r="D150" s="6" t="s">
        <v>27</v>
      </c>
      <c r="E150" s="6">
        <v>1985</v>
      </c>
      <c r="F150" s="7" t="s">
        <v>444</v>
      </c>
      <c r="G150" s="6" t="s">
        <v>46</v>
      </c>
      <c r="H150" s="8">
        <v>721.8</v>
      </c>
      <c r="I150" s="8">
        <v>642.1</v>
      </c>
      <c r="J150" s="9">
        <v>1.1241239682292501</v>
      </c>
      <c r="K150" s="10">
        <v>0.16045008565644001</v>
      </c>
      <c r="L150" s="10">
        <v>0.43539060035748101</v>
      </c>
      <c r="M150" s="10">
        <v>-0.21906693711967501</v>
      </c>
      <c r="N150" s="11">
        <v>0.8</v>
      </c>
      <c r="O150" s="11">
        <v>1</v>
      </c>
      <c r="P150" s="10">
        <v>0.2676</v>
      </c>
      <c r="Q150" s="12">
        <v>73.713566753688099</v>
      </c>
    </row>
    <row r="151" spans="1:17" ht="30" x14ac:dyDescent="0.2">
      <c r="A151" s="6">
        <v>139</v>
      </c>
      <c r="B151" s="7" t="s">
        <v>445</v>
      </c>
      <c r="C151" s="6" t="s">
        <v>446</v>
      </c>
      <c r="D151" s="6" t="s">
        <v>27</v>
      </c>
      <c r="E151" s="6">
        <v>1897</v>
      </c>
      <c r="F151" s="7" t="s">
        <v>447</v>
      </c>
      <c r="G151" s="6" t="s">
        <v>46</v>
      </c>
      <c r="H151" s="8">
        <v>963.3</v>
      </c>
      <c r="I151" s="8">
        <v>495.4</v>
      </c>
      <c r="J151" s="9">
        <v>1.94448930157449</v>
      </c>
      <c r="K151" s="10">
        <v>8.1297941057731096E-2</v>
      </c>
      <c r="L151" s="10">
        <v>0.46501128668171499</v>
      </c>
      <c r="M151" s="10">
        <v>0.103658536585366</v>
      </c>
      <c r="N151" s="11">
        <v>1</v>
      </c>
      <c r="O151" s="11">
        <v>1</v>
      </c>
      <c r="P151" s="10">
        <v>0.46100000000000002</v>
      </c>
      <c r="Q151" s="12">
        <v>73.581580558234293</v>
      </c>
    </row>
    <row r="152" spans="1:17" ht="30" x14ac:dyDescent="0.2">
      <c r="A152" s="6">
        <v>140</v>
      </c>
      <c r="B152" s="7" t="s">
        <v>448</v>
      </c>
      <c r="C152" s="6" t="s">
        <v>449</v>
      </c>
      <c r="D152" s="6" t="s">
        <v>27</v>
      </c>
      <c r="E152" s="6"/>
      <c r="F152" s="7" t="s">
        <v>450</v>
      </c>
      <c r="G152" s="6" t="s">
        <v>29</v>
      </c>
      <c r="H152" s="8">
        <v>243.7</v>
      </c>
      <c r="I152" s="8">
        <v>80.7</v>
      </c>
      <c r="J152" s="9">
        <v>3.0198265179677799</v>
      </c>
      <c r="K152" s="10">
        <v>0.13983890954151201</v>
      </c>
      <c r="L152" s="10">
        <v>0.42386185243328101</v>
      </c>
      <c r="M152" s="10">
        <v>3.3210332103321E-2</v>
      </c>
      <c r="N152" s="11">
        <v>0.7</v>
      </c>
      <c r="O152" s="11">
        <v>1</v>
      </c>
      <c r="P152" s="10">
        <v>0.73499999999999999</v>
      </c>
      <c r="Q152" s="12">
        <v>73.442789518967203</v>
      </c>
    </row>
    <row r="153" spans="1:17" ht="30" x14ac:dyDescent="0.2">
      <c r="A153" s="6">
        <v>141</v>
      </c>
      <c r="B153" s="7" t="s">
        <v>451</v>
      </c>
      <c r="C153" s="6" t="s">
        <v>452</v>
      </c>
      <c r="D153" s="6" t="s">
        <v>27</v>
      </c>
      <c r="E153" s="6">
        <v>1946</v>
      </c>
      <c r="F153" s="7" t="s">
        <v>453</v>
      </c>
      <c r="G153" s="6" t="s">
        <v>29</v>
      </c>
      <c r="H153" s="8">
        <v>955.2</v>
      </c>
      <c r="I153" s="8">
        <v>281.39999999999998</v>
      </c>
      <c r="J153" s="9">
        <v>3.3944562899786801</v>
      </c>
      <c r="K153" s="10">
        <v>0.14694385216773301</v>
      </c>
      <c r="L153" s="10">
        <v>0.57602690367523401</v>
      </c>
      <c r="M153" s="10">
        <v>4.8888888888889002E-2</v>
      </c>
      <c r="N153" s="11">
        <v>0.9</v>
      </c>
      <c r="O153" s="11">
        <v>1</v>
      </c>
      <c r="P153" s="10">
        <v>0.35</v>
      </c>
      <c r="Q153" s="12">
        <v>73.296676888727205</v>
      </c>
    </row>
    <row r="154" spans="1:17" ht="45" x14ac:dyDescent="0.2">
      <c r="A154" s="6">
        <v>142</v>
      </c>
      <c r="B154" s="7" t="s">
        <v>454</v>
      </c>
      <c r="C154" s="6" t="s">
        <v>455</v>
      </c>
      <c r="D154" s="6" t="s">
        <v>27</v>
      </c>
      <c r="E154" s="6">
        <v>2008</v>
      </c>
      <c r="F154" s="7" t="s">
        <v>456</v>
      </c>
      <c r="G154" s="6" t="s">
        <v>33</v>
      </c>
      <c r="H154" s="8">
        <v>839.8</v>
      </c>
      <c r="I154" s="8">
        <v>1037.8</v>
      </c>
      <c r="J154" s="9">
        <v>0.809211794179996</v>
      </c>
      <c r="K154" s="10">
        <v>0.122422432067836</v>
      </c>
      <c r="L154" s="10">
        <v>1.64383137011779</v>
      </c>
      <c r="M154" s="10">
        <v>-0.11381074168798</v>
      </c>
      <c r="N154" s="11">
        <v>1</v>
      </c>
      <c r="O154" s="11">
        <v>0.5</v>
      </c>
      <c r="P154" s="10">
        <v>0</v>
      </c>
      <c r="Q154" s="12">
        <v>73.268816565780298</v>
      </c>
    </row>
    <row r="155" spans="1:17" ht="45" x14ac:dyDescent="0.2">
      <c r="A155" s="6">
        <v>143</v>
      </c>
      <c r="B155" s="7" t="s">
        <v>457</v>
      </c>
      <c r="C155" s="6" t="s">
        <v>458</v>
      </c>
      <c r="D155" s="6" t="s">
        <v>27</v>
      </c>
      <c r="E155" s="6">
        <v>1980</v>
      </c>
      <c r="F155" s="7" t="s">
        <v>459</v>
      </c>
      <c r="G155" s="6" t="s">
        <v>33</v>
      </c>
      <c r="H155" s="8">
        <v>373.8</v>
      </c>
      <c r="I155" s="8">
        <v>614.1</v>
      </c>
      <c r="J155" s="9">
        <v>0.60869565217391297</v>
      </c>
      <c r="K155" s="10">
        <v>7.4010747435271099E-2</v>
      </c>
      <c r="L155" s="10">
        <v>1.06775530099927</v>
      </c>
      <c r="M155" s="10">
        <v>7.0754716981132101E-2</v>
      </c>
      <c r="N155" s="11">
        <v>0.7</v>
      </c>
      <c r="O155" s="11">
        <v>0.8</v>
      </c>
      <c r="P155" s="10">
        <v>0.20399999999999999</v>
      </c>
      <c r="Q155" s="12">
        <v>73.239984429618005</v>
      </c>
    </row>
    <row r="156" spans="1:17" ht="30" x14ac:dyDescent="0.2">
      <c r="A156" s="6">
        <v>144</v>
      </c>
      <c r="B156" s="7" t="s">
        <v>460</v>
      </c>
      <c r="C156" s="6" t="s">
        <v>461</v>
      </c>
      <c r="D156" s="6" t="s">
        <v>52</v>
      </c>
      <c r="E156" s="6">
        <v>1996</v>
      </c>
      <c r="F156" s="7" t="s">
        <v>462</v>
      </c>
      <c r="G156" s="6" t="s">
        <v>46</v>
      </c>
      <c r="H156" s="8">
        <v>173.1</v>
      </c>
      <c r="I156" s="8">
        <v>99.2</v>
      </c>
      <c r="J156" s="9">
        <v>1.7449596774193601</v>
      </c>
      <c r="K156" s="10">
        <v>0.15625</v>
      </c>
      <c r="L156" s="10">
        <v>2.6736493936052899</v>
      </c>
      <c r="M156" s="10">
        <v>8.0939947780678895E-2</v>
      </c>
      <c r="N156" s="11">
        <v>1</v>
      </c>
      <c r="O156" s="11">
        <v>0.9</v>
      </c>
      <c r="P156" s="10">
        <v>0</v>
      </c>
      <c r="Q156" s="12">
        <v>73.190802004484397</v>
      </c>
    </row>
    <row r="157" spans="1:17" ht="30" x14ac:dyDescent="0.2">
      <c r="A157" s="6">
        <v>145</v>
      </c>
      <c r="B157" s="7" t="s">
        <v>463</v>
      </c>
      <c r="C157" s="6" t="s">
        <v>464</v>
      </c>
      <c r="D157" s="6" t="s">
        <v>27</v>
      </c>
      <c r="E157" s="6"/>
      <c r="F157" s="7" t="s">
        <v>465</v>
      </c>
      <c r="G157" s="6" t="s">
        <v>46</v>
      </c>
      <c r="H157" s="8">
        <v>94.4</v>
      </c>
      <c r="I157" s="8">
        <v>85.8</v>
      </c>
      <c r="J157" s="9">
        <v>1.1002331002331001</v>
      </c>
      <c r="K157" s="10">
        <v>0.11695804195804201</v>
      </c>
      <c r="L157" s="10">
        <v>0.63736263736263699</v>
      </c>
      <c r="M157" s="10">
        <v>1.59744408945688E-2</v>
      </c>
      <c r="N157" s="11">
        <v>1</v>
      </c>
      <c r="O157" s="11">
        <v>1</v>
      </c>
      <c r="P157" s="10">
        <v>0</v>
      </c>
      <c r="Q157" s="12">
        <v>72.897095735217704</v>
      </c>
    </row>
    <row r="158" spans="1:17" ht="30" x14ac:dyDescent="0.2">
      <c r="A158" s="6">
        <v>146</v>
      </c>
      <c r="B158" s="7" t="s">
        <v>466</v>
      </c>
      <c r="C158" s="6" t="s">
        <v>467</v>
      </c>
      <c r="D158" s="6" t="s">
        <v>27</v>
      </c>
      <c r="E158" s="6"/>
      <c r="F158" s="7" t="s">
        <v>468</v>
      </c>
      <c r="G158" s="6" t="s">
        <v>46</v>
      </c>
      <c r="H158" s="8">
        <v>112.2</v>
      </c>
      <c r="I158" s="8">
        <v>105.1</v>
      </c>
      <c r="J158" s="9">
        <v>1.0675547098001901</v>
      </c>
      <c r="K158" s="10">
        <v>0.105613701236917</v>
      </c>
      <c r="L158" s="10">
        <v>0.61386138613861396</v>
      </c>
      <c r="M158" s="10">
        <v>0</v>
      </c>
      <c r="N158" s="11">
        <v>1</v>
      </c>
      <c r="O158" s="11">
        <v>1</v>
      </c>
      <c r="P158" s="10">
        <v>0</v>
      </c>
      <c r="Q158" s="12">
        <v>72.879100681084097</v>
      </c>
    </row>
    <row r="159" spans="1:17" ht="30" x14ac:dyDescent="0.2">
      <c r="A159" s="6">
        <v>147</v>
      </c>
      <c r="B159" s="7" t="s">
        <v>469</v>
      </c>
      <c r="C159" s="6" t="s">
        <v>470</v>
      </c>
      <c r="D159" s="6" t="s">
        <v>27</v>
      </c>
      <c r="E159" s="6"/>
      <c r="F159" s="7" t="s">
        <v>471</v>
      </c>
      <c r="G159" s="6" t="s">
        <v>46</v>
      </c>
      <c r="H159" s="8">
        <v>29.7</v>
      </c>
      <c r="I159" s="8">
        <v>21.7</v>
      </c>
      <c r="J159" s="9">
        <v>1.36866359447005</v>
      </c>
      <c r="K159" s="10">
        <v>0.16486175115207399</v>
      </c>
      <c r="L159" s="10">
        <v>0.66086956521739104</v>
      </c>
      <c r="M159" s="10">
        <v>0</v>
      </c>
      <c r="N159" s="11">
        <v>0.9</v>
      </c>
      <c r="O159" s="11">
        <v>1</v>
      </c>
      <c r="P159" s="10">
        <v>0</v>
      </c>
      <c r="Q159" s="12">
        <v>72.851001187278698</v>
      </c>
    </row>
    <row r="160" spans="1:17" ht="30" x14ac:dyDescent="0.2">
      <c r="A160" s="6">
        <v>148</v>
      </c>
      <c r="B160" s="7" t="s">
        <v>472</v>
      </c>
      <c r="C160" s="6" t="s">
        <v>473</v>
      </c>
      <c r="D160" s="6" t="s">
        <v>27</v>
      </c>
      <c r="E160" s="6">
        <v>1982</v>
      </c>
      <c r="F160" s="7" t="s">
        <v>474</v>
      </c>
      <c r="G160" s="6" t="s">
        <v>46</v>
      </c>
      <c r="H160" s="8">
        <v>439.4</v>
      </c>
      <c r="I160" s="8">
        <v>145.80000000000001</v>
      </c>
      <c r="J160" s="9">
        <v>3.0137174211248299</v>
      </c>
      <c r="K160" s="10">
        <v>0.58127572016460904</v>
      </c>
      <c r="L160" s="10">
        <v>1.17468014857615</v>
      </c>
      <c r="M160" s="10">
        <v>-0.178240740740741</v>
      </c>
      <c r="N160" s="11">
        <v>0.9</v>
      </c>
      <c r="O160" s="11">
        <v>1</v>
      </c>
      <c r="P160" s="10">
        <v>0</v>
      </c>
      <c r="Q160" s="12">
        <v>72.812533131032595</v>
      </c>
    </row>
    <row r="161" spans="1:17" ht="30" x14ac:dyDescent="0.2">
      <c r="A161" s="6">
        <v>149</v>
      </c>
      <c r="B161" s="7" t="s">
        <v>475</v>
      </c>
      <c r="C161" s="6" t="s">
        <v>476</v>
      </c>
      <c r="D161" s="6" t="s">
        <v>52</v>
      </c>
      <c r="E161" s="6">
        <v>1994</v>
      </c>
      <c r="F161" s="7" t="s">
        <v>477</v>
      </c>
      <c r="G161" s="6" t="s">
        <v>33</v>
      </c>
      <c r="H161" s="8">
        <v>499.8</v>
      </c>
      <c r="I161" s="8">
        <v>1103.0999999999999</v>
      </c>
      <c r="J161" s="9">
        <v>0.45308675550720701</v>
      </c>
      <c r="K161" s="10">
        <v>6.0851237421811297E-2</v>
      </c>
      <c r="L161" s="10">
        <v>0.19032629298673201</v>
      </c>
      <c r="M161" s="10">
        <v>-0.15953757225433501</v>
      </c>
      <c r="N161" s="11">
        <v>0.8</v>
      </c>
      <c r="O161" s="11">
        <v>1</v>
      </c>
      <c r="P161" s="10">
        <v>0.12</v>
      </c>
      <c r="Q161" s="12">
        <v>72.613917405286301</v>
      </c>
    </row>
    <row r="162" spans="1:17" ht="30" x14ac:dyDescent="0.2">
      <c r="A162" s="6">
        <v>150</v>
      </c>
      <c r="B162" s="7" t="s">
        <v>478</v>
      </c>
      <c r="C162" s="6" t="s">
        <v>479</v>
      </c>
      <c r="D162" s="6" t="s">
        <v>27</v>
      </c>
      <c r="E162" s="6"/>
      <c r="F162" s="7" t="s">
        <v>480</v>
      </c>
      <c r="G162" s="6" t="s">
        <v>33</v>
      </c>
      <c r="H162" s="8">
        <v>935.1</v>
      </c>
      <c r="I162" s="8">
        <v>1000.8</v>
      </c>
      <c r="J162" s="9">
        <v>0.93435251798561203</v>
      </c>
      <c r="K162" s="10">
        <v>7.9811151079136694E-2</v>
      </c>
      <c r="L162" s="10">
        <v>0.86265906099166301</v>
      </c>
      <c r="M162" s="10">
        <v>-3.5294117647058802E-2</v>
      </c>
      <c r="N162" s="11">
        <v>1</v>
      </c>
      <c r="O162" s="11">
        <v>1</v>
      </c>
      <c r="P162" s="10">
        <v>0</v>
      </c>
      <c r="Q162" s="12">
        <v>72.609813138506794</v>
      </c>
    </row>
  </sheetData>
  <conditionalFormatting sqref="P13:P162">
    <cfRule type="colorScale" priority="1">
      <colorScale>
        <cfvo type="min"/>
        <cfvo type="percentile" val="50"/>
        <cfvo type="max"/>
        <color rgb="FFF8696B"/>
        <color rgb="FFFFEB84"/>
        <color rgb="FF63BE7B"/>
      </colorScale>
    </cfRule>
  </conditionalFormatting>
  <hyperlinks>
    <hyperlink ref="B6" r:id="rId1" location="'Investment%20Thesis'!A1" xr:uid="{00000000-0004-0000-0000-000000000000}"/>
    <hyperlink ref="B7" r:id="rId2" location="'Revenue%20History'!A1" xr:uid="{00000000-0004-0000-0000-000001000000}"/>
    <hyperlink ref="B8" r:id="rId3" location="'Shares%20Outstanding'!A1" xr:uid="{00000000-0004-0000-0000-000002000000}"/>
    <hyperlink ref="B9" r:id="rId4" location="'Net%20Income%20&amp;%20Debt'!A1" xr:uid="{00000000-0004-0000-0000-000003000000}"/>
    <hyperlink ref="B10" r:id="rId5" location="'Methodology'!A1" xr:uid="{00000000-0004-0000-0000-000004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154"/>
  <sheetViews>
    <sheetView zoomScaleNormal="100" workbookViewId="0">
      <pane xSplit="2" ySplit="4" topLeftCell="C5" activePane="bottomRight" state="frozen"/>
      <selection pane="topRight" activeCell="C1" sqref="C1"/>
      <selection pane="bottomLeft" activeCell="A5" sqref="A5"/>
      <selection pane="bottomRight" activeCell="D146" sqref="D146"/>
    </sheetView>
  </sheetViews>
  <sheetFormatPr baseColWidth="10" defaultColWidth="8.6640625" defaultRowHeight="15" customHeight="1" x14ac:dyDescent="0.2"/>
  <cols>
    <col min="1" max="1" width="5" customWidth="1"/>
    <col min="2" max="2" width="32" customWidth="1"/>
    <col min="3" max="3" width="14" customWidth="1"/>
    <col min="4" max="5" width="60" customWidth="1"/>
    <col min="6" max="6" width="50" customWidth="1"/>
    <col min="7" max="7" width="60" customWidth="1"/>
    <col min="8" max="8" width="25" customWidth="1"/>
  </cols>
  <sheetData>
    <row r="2" spans="1:8" ht="21" x14ac:dyDescent="0.25">
      <c r="B2" s="1" t="s">
        <v>481</v>
      </c>
    </row>
    <row r="4" spans="1:8" ht="27.75" customHeight="1" x14ac:dyDescent="0.2">
      <c r="A4" s="5" t="s">
        <v>8</v>
      </c>
      <c r="B4" s="5" t="s">
        <v>9</v>
      </c>
      <c r="C4" s="5" t="s">
        <v>10</v>
      </c>
      <c r="D4" s="5" t="s">
        <v>482</v>
      </c>
      <c r="E4" s="5" t="s">
        <v>483</v>
      </c>
      <c r="F4" s="5" t="s">
        <v>484</v>
      </c>
      <c r="G4" s="5" t="s">
        <v>485</v>
      </c>
      <c r="H4" s="5" t="s">
        <v>486</v>
      </c>
    </row>
    <row r="5" spans="1:8" ht="105" x14ac:dyDescent="0.2">
      <c r="A5" s="6">
        <v>1</v>
      </c>
      <c r="B5" s="7" t="s">
        <v>25</v>
      </c>
      <c r="C5" s="6" t="s">
        <v>26</v>
      </c>
      <c r="D5" s="7" t="s">
        <v>487</v>
      </c>
      <c r="E5" s="7" t="s">
        <v>488</v>
      </c>
      <c r="F5" s="7" t="s">
        <v>489</v>
      </c>
      <c r="G5" s="7" t="s">
        <v>490</v>
      </c>
      <c r="H5" s="4" t="s">
        <v>491</v>
      </c>
    </row>
    <row r="6" spans="1:8" ht="165" x14ac:dyDescent="0.2">
      <c r="A6" s="6">
        <v>2</v>
      </c>
      <c r="B6" s="7" t="s">
        <v>30</v>
      </c>
      <c r="C6" s="6" t="s">
        <v>31</v>
      </c>
      <c r="D6" s="7" t="s">
        <v>492</v>
      </c>
      <c r="E6" s="7" t="s">
        <v>493</v>
      </c>
      <c r="F6" s="7" t="s">
        <v>494</v>
      </c>
      <c r="G6" s="7" t="s">
        <v>495</v>
      </c>
      <c r="H6" s="4" t="s">
        <v>496</v>
      </c>
    </row>
    <row r="7" spans="1:8" ht="120" x14ac:dyDescent="0.2">
      <c r="A7" s="6">
        <v>3</v>
      </c>
      <c r="B7" s="7" t="s">
        <v>34</v>
      </c>
      <c r="C7" s="6" t="s">
        <v>35</v>
      </c>
      <c r="D7" s="7" t="s">
        <v>497</v>
      </c>
      <c r="E7" s="7" t="s">
        <v>498</v>
      </c>
      <c r="F7" s="7" t="s">
        <v>489</v>
      </c>
      <c r="G7" s="7" t="s">
        <v>499</v>
      </c>
      <c r="H7" s="4" t="s">
        <v>500</v>
      </c>
    </row>
    <row r="8" spans="1:8" ht="90" x14ac:dyDescent="0.2">
      <c r="A8" s="6">
        <v>4</v>
      </c>
      <c r="B8" s="7" t="s">
        <v>37</v>
      </c>
      <c r="C8" s="6" t="s">
        <v>38</v>
      </c>
      <c r="D8" s="7" t="s">
        <v>501</v>
      </c>
      <c r="E8" s="7" t="s">
        <v>502</v>
      </c>
      <c r="F8" s="7" t="s">
        <v>489</v>
      </c>
      <c r="G8" s="7" t="s">
        <v>503</v>
      </c>
      <c r="H8" s="4" t="s">
        <v>504</v>
      </c>
    </row>
    <row r="9" spans="1:8" ht="105" x14ac:dyDescent="0.2">
      <c r="A9" s="6">
        <v>5</v>
      </c>
      <c r="B9" s="7" t="s">
        <v>40</v>
      </c>
      <c r="C9" s="6" t="s">
        <v>41</v>
      </c>
      <c r="D9" s="7" t="s">
        <v>505</v>
      </c>
      <c r="E9" s="7" t="s">
        <v>506</v>
      </c>
      <c r="F9" s="7" t="s">
        <v>489</v>
      </c>
      <c r="G9" s="7" t="s">
        <v>507</v>
      </c>
      <c r="H9" s="4" t="s">
        <v>508</v>
      </c>
    </row>
    <row r="10" spans="1:8" ht="135" x14ac:dyDescent="0.2">
      <c r="A10" s="6">
        <v>6</v>
      </c>
      <c r="B10" s="7" t="s">
        <v>43</v>
      </c>
      <c r="C10" s="6" t="s">
        <v>44</v>
      </c>
      <c r="D10" s="7" t="s">
        <v>509</v>
      </c>
      <c r="E10" s="7" t="s">
        <v>510</v>
      </c>
      <c r="F10" s="7" t="s">
        <v>489</v>
      </c>
      <c r="G10" s="7" t="s">
        <v>511</v>
      </c>
      <c r="H10" s="4" t="s">
        <v>512</v>
      </c>
    </row>
    <row r="11" spans="1:8" ht="120" x14ac:dyDescent="0.2">
      <c r="A11" s="6">
        <v>7</v>
      </c>
      <c r="B11" s="7" t="s">
        <v>47</v>
      </c>
      <c r="C11" s="6" t="s">
        <v>48</v>
      </c>
      <c r="D11" s="7" t="s">
        <v>513</v>
      </c>
      <c r="E11" s="7" t="s">
        <v>514</v>
      </c>
      <c r="F11" s="7" t="s">
        <v>489</v>
      </c>
      <c r="G11" s="7" t="s">
        <v>515</v>
      </c>
      <c r="H11" s="4" t="s">
        <v>516</v>
      </c>
    </row>
    <row r="12" spans="1:8" ht="105" x14ac:dyDescent="0.2">
      <c r="A12" s="6">
        <v>8</v>
      </c>
      <c r="B12" s="7" t="s">
        <v>50</v>
      </c>
      <c r="C12" s="6" t="s">
        <v>51</v>
      </c>
      <c r="D12" s="7" t="s">
        <v>517</v>
      </c>
      <c r="E12" s="7" t="s">
        <v>518</v>
      </c>
      <c r="F12" s="7" t="s">
        <v>489</v>
      </c>
      <c r="G12" s="7" t="s">
        <v>519</v>
      </c>
      <c r="H12" s="4" t="s">
        <v>520</v>
      </c>
    </row>
    <row r="13" spans="1:8" ht="135" x14ac:dyDescent="0.2">
      <c r="A13" s="6">
        <v>9</v>
      </c>
      <c r="B13" s="7" t="s">
        <v>54</v>
      </c>
      <c r="C13" s="6" t="s">
        <v>55</v>
      </c>
      <c r="D13" s="7" t="s">
        <v>521</v>
      </c>
      <c r="E13" s="7" t="s">
        <v>522</v>
      </c>
      <c r="F13" s="7" t="s">
        <v>523</v>
      </c>
      <c r="G13" s="7" t="s">
        <v>524</v>
      </c>
      <c r="H13" s="4" t="s">
        <v>525</v>
      </c>
    </row>
    <row r="14" spans="1:8" ht="90" x14ac:dyDescent="0.2">
      <c r="A14" s="6">
        <v>10</v>
      </c>
      <c r="B14" s="7" t="s">
        <v>57</v>
      </c>
      <c r="C14" s="6" t="s">
        <v>58</v>
      </c>
      <c r="D14" s="7" t="s">
        <v>526</v>
      </c>
      <c r="E14" s="7" t="s">
        <v>527</v>
      </c>
      <c r="F14" s="7" t="s">
        <v>489</v>
      </c>
      <c r="G14" s="7" t="s">
        <v>519</v>
      </c>
      <c r="H14" s="4" t="s">
        <v>528</v>
      </c>
    </row>
    <row r="15" spans="1:8" ht="120" x14ac:dyDescent="0.2">
      <c r="A15" s="6">
        <v>11</v>
      </c>
      <c r="B15" s="7" t="s">
        <v>60</v>
      </c>
      <c r="C15" s="6" t="s">
        <v>61</v>
      </c>
      <c r="D15" s="7" t="s">
        <v>529</v>
      </c>
      <c r="E15" s="7" t="s">
        <v>530</v>
      </c>
      <c r="F15" s="7" t="s">
        <v>489</v>
      </c>
      <c r="G15" s="7" t="s">
        <v>531</v>
      </c>
      <c r="H15" s="4" t="s">
        <v>532</v>
      </c>
    </row>
    <row r="16" spans="1:8" ht="105" x14ac:dyDescent="0.2">
      <c r="A16" s="6">
        <v>12</v>
      </c>
      <c r="B16" s="7" t="s">
        <v>63</v>
      </c>
      <c r="C16" s="6" t="s">
        <v>64</v>
      </c>
      <c r="D16" s="7" t="s">
        <v>533</v>
      </c>
      <c r="E16" s="7" t="s">
        <v>534</v>
      </c>
      <c r="F16" s="7" t="s">
        <v>489</v>
      </c>
      <c r="G16" s="7" t="s">
        <v>535</v>
      </c>
      <c r="H16" s="4" t="s">
        <v>536</v>
      </c>
    </row>
    <row r="17" spans="1:8" ht="135" x14ac:dyDescent="0.2">
      <c r="A17" s="6">
        <v>13</v>
      </c>
      <c r="B17" s="7" t="s">
        <v>66</v>
      </c>
      <c r="C17" s="6" t="s">
        <v>67</v>
      </c>
      <c r="D17" s="7" t="s">
        <v>537</v>
      </c>
      <c r="E17" s="7" t="s">
        <v>538</v>
      </c>
      <c r="F17" s="7" t="s">
        <v>489</v>
      </c>
      <c r="G17" s="7" t="s">
        <v>539</v>
      </c>
      <c r="H17" s="4" t="s">
        <v>540</v>
      </c>
    </row>
    <row r="18" spans="1:8" ht="165" x14ac:dyDescent="0.2">
      <c r="A18" s="6">
        <v>14</v>
      </c>
      <c r="B18" s="7" t="s">
        <v>69</v>
      </c>
      <c r="C18" s="6" t="s">
        <v>70</v>
      </c>
      <c r="D18" s="7" t="s">
        <v>541</v>
      </c>
      <c r="E18" s="7" t="s">
        <v>542</v>
      </c>
      <c r="F18" s="7" t="s">
        <v>489</v>
      </c>
      <c r="G18" s="7" t="s">
        <v>543</v>
      </c>
      <c r="H18" s="4" t="s">
        <v>544</v>
      </c>
    </row>
    <row r="19" spans="1:8" ht="90" x14ac:dyDescent="0.2">
      <c r="A19" s="6">
        <v>15</v>
      </c>
      <c r="B19" s="7" t="s">
        <v>72</v>
      </c>
      <c r="C19" s="6" t="s">
        <v>73</v>
      </c>
      <c r="D19" s="7" t="s">
        <v>545</v>
      </c>
      <c r="E19" s="7" t="s">
        <v>546</v>
      </c>
      <c r="F19" s="7" t="s">
        <v>489</v>
      </c>
      <c r="G19" s="7" t="s">
        <v>547</v>
      </c>
      <c r="H19" s="4" t="s">
        <v>548</v>
      </c>
    </row>
    <row r="20" spans="1:8" ht="90" x14ac:dyDescent="0.2">
      <c r="A20" s="6">
        <v>16</v>
      </c>
      <c r="B20" s="7" t="s">
        <v>76</v>
      </c>
      <c r="C20" s="6" t="s">
        <v>77</v>
      </c>
      <c r="D20" s="7" t="s">
        <v>549</v>
      </c>
      <c r="E20" s="7" t="s">
        <v>550</v>
      </c>
      <c r="F20" s="7" t="s">
        <v>489</v>
      </c>
      <c r="G20" s="7" t="s">
        <v>551</v>
      </c>
      <c r="H20" s="4" t="s">
        <v>552</v>
      </c>
    </row>
    <row r="21" spans="1:8" ht="165" x14ac:dyDescent="0.2">
      <c r="A21" s="6">
        <v>17</v>
      </c>
      <c r="B21" s="7" t="s">
        <v>79</v>
      </c>
      <c r="C21" s="6" t="s">
        <v>80</v>
      </c>
      <c r="D21" s="7" t="s">
        <v>553</v>
      </c>
      <c r="E21" s="7" t="s">
        <v>554</v>
      </c>
      <c r="F21" s="7" t="s">
        <v>489</v>
      </c>
      <c r="G21" s="7" t="s">
        <v>555</v>
      </c>
      <c r="H21" s="4" t="s">
        <v>556</v>
      </c>
    </row>
    <row r="22" spans="1:8" ht="165" x14ac:dyDescent="0.2">
      <c r="A22" s="6">
        <v>18</v>
      </c>
      <c r="B22" s="7" t="s">
        <v>82</v>
      </c>
      <c r="C22" s="6" t="s">
        <v>83</v>
      </c>
      <c r="D22" s="7" t="s">
        <v>557</v>
      </c>
      <c r="E22" s="7" t="s">
        <v>558</v>
      </c>
      <c r="F22" s="7" t="s">
        <v>489</v>
      </c>
      <c r="G22" s="7" t="s">
        <v>559</v>
      </c>
      <c r="H22" s="4" t="s">
        <v>560</v>
      </c>
    </row>
    <row r="23" spans="1:8" ht="150" x14ac:dyDescent="0.2">
      <c r="A23" s="6">
        <v>19</v>
      </c>
      <c r="B23" s="7" t="s">
        <v>85</v>
      </c>
      <c r="C23" s="6" t="s">
        <v>86</v>
      </c>
      <c r="D23" s="7" t="s">
        <v>561</v>
      </c>
      <c r="E23" s="7" t="s">
        <v>562</v>
      </c>
      <c r="F23" s="7" t="s">
        <v>489</v>
      </c>
      <c r="G23" s="7" t="s">
        <v>563</v>
      </c>
      <c r="H23" s="4" t="s">
        <v>564</v>
      </c>
    </row>
    <row r="24" spans="1:8" ht="105" x14ac:dyDescent="0.2">
      <c r="A24" s="6">
        <v>20</v>
      </c>
      <c r="B24" s="7" t="s">
        <v>88</v>
      </c>
      <c r="C24" s="6" t="s">
        <v>89</v>
      </c>
      <c r="D24" s="7" t="s">
        <v>565</v>
      </c>
      <c r="E24" s="7" t="s">
        <v>566</v>
      </c>
      <c r="F24" s="7" t="s">
        <v>489</v>
      </c>
      <c r="G24" s="7" t="s">
        <v>567</v>
      </c>
      <c r="H24" s="4" t="s">
        <v>568</v>
      </c>
    </row>
    <row r="25" spans="1:8" ht="120" x14ac:dyDescent="0.2">
      <c r="A25" s="6">
        <v>21</v>
      </c>
      <c r="B25" s="7" t="s">
        <v>91</v>
      </c>
      <c r="C25" s="6" t="s">
        <v>92</v>
      </c>
      <c r="D25" s="7" t="s">
        <v>569</v>
      </c>
      <c r="E25" s="7" t="s">
        <v>570</v>
      </c>
      <c r="F25" s="7" t="s">
        <v>489</v>
      </c>
      <c r="G25" s="7" t="s">
        <v>571</v>
      </c>
      <c r="H25" s="4" t="s">
        <v>572</v>
      </c>
    </row>
    <row r="26" spans="1:8" ht="135" x14ac:dyDescent="0.2">
      <c r="A26" s="6">
        <v>22</v>
      </c>
      <c r="B26" s="7" t="s">
        <v>94</v>
      </c>
      <c r="C26" s="6" t="s">
        <v>95</v>
      </c>
      <c r="D26" s="7" t="s">
        <v>573</v>
      </c>
      <c r="E26" s="7" t="s">
        <v>574</v>
      </c>
      <c r="F26" s="7" t="s">
        <v>489</v>
      </c>
      <c r="G26" s="7" t="s">
        <v>575</v>
      </c>
      <c r="H26" s="4" t="s">
        <v>576</v>
      </c>
    </row>
    <row r="27" spans="1:8" ht="75" x14ac:dyDescent="0.2">
      <c r="A27" s="6">
        <v>23</v>
      </c>
      <c r="B27" s="7" t="s">
        <v>97</v>
      </c>
      <c r="C27" s="6" t="s">
        <v>98</v>
      </c>
      <c r="D27" s="7" t="s">
        <v>577</v>
      </c>
      <c r="E27" s="7" t="s">
        <v>578</v>
      </c>
      <c r="F27" s="7" t="s">
        <v>489</v>
      </c>
      <c r="G27" s="7" t="s">
        <v>579</v>
      </c>
      <c r="H27" s="4" t="s">
        <v>580</v>
      </c>
    </row>
    <row r="28" spans="1:8" ht="90" x14ac:dyDescent="0.2">
      <c r="A28" s="6">
        <v>24</v>
      </c>
      <c r="B28" s="7" t="s">
        <v>100</v>
      </c>
      <c r="C28" s="6" t="s">
        <v>101</v>
      </c>
      <c r="D28" s="7" t="s">
        <v>581</v>
      </c>
      <c r="E28" s="7" t="s">
        <v>582</v>
      </c>
      <c r="F28" s="7" t="s">
        <v>583</v>
      </c>
      <c r="G28" s="7" t="s">
        <v>584</v>
      </c>
      <c r="H28" s="4" t="s">
        <v>585</v>
      </c>
    </row>
    <row r="29" spans="1:8" ht="150" x14ac:dyDescent="0.2">
      <c r="A29" s="6">
        <v>25</v>
      </c>
      <c r="B29" s="7" t="s">
        <v>103</v>
      </c>
      <c r="C29" s="6" t="s">
        <v>104</v>
      </c>
      <c r="D29" s="7" t="s">
        <v>586</v>
      </c>
      <c r="E29" s="7" t="s">
        <v>587</v>
      </c>
      <c r="F29" s="7" t="s">
        <v>588</v>
      </c>
      <c r="G29" s="7" t="s">
        <v>589</v>
      </c>
      <c r="H29" s="4" t="s">
        <v>590</v>
      </c>
    </row>
    <row r="30" spans="1:8" ht="105" x14ac:dyDescent="0.2">
      <c r="A30" s="6">
        <v>26</v>
      </c>
      <c r="B30" s="7" t="s">
        <v>106</v>
      </c>
      <c r="C30" s="6" t="s">
        <v>107</v>
      </c>
      <c r="D30" s="7" t="s">
        <v>591</v>
      </c>
      <c r="E30" s="7" t="s">
        <v>592</v>
      </c>
      <c r="F30" s="7" t="s">
        <v>489</v>
      </c>
      <c r="G30" s="7" t="s">
        <v>593</v>
      </c>
      <c r="H30" s="4" t="s">
        <v>594</v>
      </c>
    </row>
    <row r="31" spans="1:8" ht="120" x14ac:dyDescent="0.2">
      <c r="A31" s="6">
        <v>27</v>
      </c>
      <c r="B31" s="7" t="s">
        <v>109</v>
      </c>
      <c r="C31" s="6" t="s">
        <v>110</v>
      </c>
      <c r="D31" s="7" t="s">
        <v>595</v>
      </c>
      <c r="E31" s="7" t="s">
        <v>596</v>
      </c>
      <c r="F31" s="7" t="s">
        <v>489</v>
      </c>
      <c r="G31" s="7" t="s">
        <v>597</v>
      </c>
      <c r="H31" s="4" t="s">
        <v>598</v>
      </c>
    </row>
    <row r="32" spans="1:8" ht="135" x14ac:dyDescent="0.2">
      <c r="A32" s="6">
        <v>28</v>
      </c>
      <c r="B32" s="7" t="s">
        <v>112</v>
      </c>
      <c r="C32" s="6" t="s">
        <v>113</v>
      </c>
      <c r="D32" s="7" t="s">
        <v>599</v>
      </c>
      <c r="E32" s="7" t="s">
        <v>600</v>
      </c>
      <c r="F32" s="7" t="s">
        <v>489</v>
      </c>
      <c r="G32" s="7" t="s">
        <v>601</v>
      </c>
      <c r="H32" s="4" t="s">
        <v>602</v>
      </c>
    </row>
    <row r="33" spans="1:8" ht="90" x14ac:dyDescent="0.2">
      <c r="A33" s="6">
        <v>29</v>
      </c>
      <c r="B33" s="7" t="s">
        <v>115</v>
      </c>
      <c r="C33" s="6" t="s">
        <v>116</v>
      </c>
      <c r="D33" s="7" t="s">
        <v>603</v>
      </c>
      <c r="E33" s="7" t="s">
        <v>604</v>
      </c>
      <c r="F33" s="7" t="s">
        <v>489</v>
      </c>
      <c r="G33" s="7" t="s">
        <v>605</v>
      </c>
      <c r="H33" s="4" t="s">
        <v>606</v>
      </c>
    </row>
    <row r="34" spans="1:8" ht="120" x14ac:dyDescent="0.2">
      <c r="A34" s="6">
        <v>30</v>
      </c>
      <c r="B34" s="7" t="s">
        <v>118</v>
      </c>
      <c r="C34" s="6" t="s">
        <v>119</v>
      </c>
      <c r="D34" s="7" t="s">
        <v>607</v>
      </c>
      <c r="E34" s="7" t="s">
        <v>608</v>
      </c>
      <c r="F34" s="7" t="s">
        <v>489</v>
      </c>
      <c r="G34" s="7" t="s">
        <v>609</v>
      </c>
      <c r="H34" s="4" t="s">
        <v>610</v>
      </c>
    </row>
    <row r="35" spans="1:8" ht="30" x14ac:dyDescent="0.2">
      <c r="A35" s="6">
        <v>31</v>
      </c>
      <c r="B35" s="7" t="s">
        <v>121</v>
      </c>
      <c r="C35" s="6" t="s">
        <v>122</v>
      </c>
      <c r="D35" s="7" t="s">
        <v>611</v>
      </c>
      <c r="E35" s="7"/>
      <c r="F35" s="7"/>
      <c r="G35" s="7"/>
      <c r="H35" s="13"/>
    </row>
    <row r="36" spans="1:8" ht="165" x14ac:dyDescent="0.2">
      <c r="A36" s="6">
        <v>32</v>
      </c>
      <c r="B36" s="7" t="s">
        <v>124</v>
      </c>
      <c r="C36" s="6" t="s">
        <v>125</v>
      </c>
      <c r="D36" s="7" t="s">
        <v>612</v>
      </c>
      <c r="E36" s="7" t="s">
        <v>613</v>
      </c>
      <c r="F36" s="7" t="s">
        <v>489</v>
      </c>
      <c r="G36" s="7" t="s">
        <v>614</v>
      </c>
      <c r="H36" s="4" t="s">
        <v>615</v>
      </c>
    </row>
    <row r="37" spans="1:8" ht="105" x14ac:dyDescent="0.2">
      <c r="A37" s="6">
        <v>33</v>
      </c>
      <c r="B37" s="7" t="s">
        <v>127</v>
      </c>
      <c r="C37" s="6" t="s">
        <v>128</v>
      </c>
      <c r="D37" s="7" t="s">
        <v>616</v>
      </c>
      <c r="E37" s="7" t="s">
        <v>617</v>
      </c>
      <c r="F37" s="7" t="s">
        <v>618</v>
      </c>
      <c r="G37" s="7" t="s">
        <v>619</v>
      </c>
      <c r="H37" s="4" t="s">
        <v>620</v>
      </c>
    </row>
    <row r="38" spans="1:8" ht="60" x14ac:dyDescent="0.2">
      <c r="A38" s="6">
        <v>34</v>
      </c>
      <c r="B38" s="7" t="s">
        <v>130</v>
      </c>
      <c r="C38" s="6" t="s">
        <v>131</v>
      </c>
      <c r="D38" s="7" t="s">
        <v>621</v>
      </c>
      <c r="E38" s="7" t="s">
        <v>622</v>
      </c>
      <c r="F38" s="7" t="s">
        <v>489</v>
      </c>
      <c r="G38" s="7" t="s">
        <v>623</v>
      </c>
      <c r="H38" s="4" t="s">
        <v>624</v>
      </c>
    </row>
    <row r="39" spans="1:8" ht="75" x14ac:dyDescent="0.2">
      <c r="A39" s="6">
        <v>35</v>
      </c>
      <c r="B39" s="7" t="s">
        <v>133</v>
      </c>
      <c r="C39" s="6" t="s">
        <v>134</v>
      </c>
      <c r="D39" s="7" t="s">
        <v>625</v>
      </c>
      <c r="E39" s="7" t="s">
        <v>626</v>
      </c>
      <c r="F39" s="7" t="s">
        <v>489</v>
      </c>
      <c r="G39" s="7" t="s">
        <v>627</v>
      </c>
      <c r="H39" s="13" t="s">
        <v>628</v>
      </c>
    </row>
    <row r="40" spans="1:8" ht="105" x14ac:dyDescent="0.2">
      <c r="A40" s="6">
        <v>36</v>
      </c>
      <c r="B40" s="7" t="s">
        <v>136</v>
      </c>
      <c r="C40" s="6" t="s">
        <v>137</v>
      </c>
      <c r="D40" s="7" t="s">
        <v>629</v>
      </c>
      <c r="E40" s="7" t="s">
        <v>630</v>
      </c>
      <c r="F40" s="7" t="s">
        <v>489</v>
      </c>
      <c r="G40" s="7" t="s">
        <v>631</v>
      </c>
      <c r="H40" s="4" t="s">
        <v>632</v>
      </c>
    </row>
    <row r="41" spans="1:8" ht="105" x14ac:dyDescent="0.2">
      <c r="A41" s="6">
        <v>37</v>
      </c>
      <c r="B41" s="7" t="s">
        <v>139</v>
      </c>
      <c r="C41" s="6" t="s">
        <v>140</v>
      </c>
      <c r="D41" s="7" t="s">
        <v>633</v>
      </c>
      <c r="E41" s="7" t="s">
        <v>634</v>
      </c>
      <c r="F41" s="7" t="s">
        <v>489</v>
      </c>
      <c r="G41" s="7" t="s">
        <v>635</v>
      </c>
      <c r="H41" s="4" t="s">
        <v>636</v>
      </c>
    </row>
    <row r="42" spans="1:8" ht="105" x14ac:dyDescent="0.2">
      <c r="A42" s="6">
        <v>38</v>
      </c>
      <c r="B42" s="7" t="s">
        <v>142</v>
      </c>
      <c r="C42" s="6" t="s">
        <v>143</v>
      </c>
      <c r="D42" s="7" t="s">
        <v>637</v>
      </c>
      <c r="E42" s="7" t="s">
        <v>638</v>
      </c>
      <c r="F42" s="7" t="s">
        <v>489</v>
      </c>
      <c r="G42" s="7" t="s">
        <v>519</v>
      </c>
      <c r="H42" s="4" t="s">
        <v>639</v>
      </c>
    </row>
    <row r="43" spans="1:8" ht="45" x14ac:dyDescent="0.2">
      <c r="A43" s="6">
        <v>39</v>
      </c>
      <c r="B43" s="7" t="s">
        <v>145</v>
      </c>
      <c r="C43" s="6" t="s">
        <v>146</v>
      </c>
      <c r="D43" s="7" t="s">
        <v>640</v>
      </c>
      <c r="E43" s="7" t="s">
        <v>641</v>
      </c>
      <c r="F43" s="7" t="s">
        <v>489</v>
      </c>
      <c r="G43" s="7" t="s">
        <v>642</v>
      </c>
      <c r="H43" s="4" t="s">
        <v>643</v>
      </c>
    </row>
    <row r="44" spans="1:8" ht="105" x14ac:dyDescent="0.2">
      <c r="A44" s="6">
        <v>40</v>
      </c>
      <c r="B44" s="7" t="s">
        <v>148</v>
      </c>
      <c r="C44" s="6" t="s">
        <v>149</v>
      </c>
      <c r="D44" s="7" t="s">
        <v>644</v>
      </c>
      <c r="E44" s="7" t="s">
        <v>645</v>
      </c>
      <c r="F44" s="7" t="s">
        <v>489</v>
      </c>
      <c r="G44" s="7" t="s">
        <v>646</v>
      </c>
      <c r="H44" s="4" t="s">
        <v>647</v>
      </c>
    </row>
    <row r="45" spans="1:8" ht="135" x14ac:dyDescent="0.2">
      <c r="A45" s="6">
        <v>41</v>
      </c>
      <c r="B45" s="7" t="s">
        <v>151</v>
      </c>
      <c r="C45" s="6" t="s">
        <v>152</v>
      </c>
      <c r="D45" s="7" t="s">
        <v>648</v>
      </c>
      <c r="E45" s="7" t="s">
        <v>649</v>
      </c>
      <c r="F45" s="7" t="s">
        <v>489</v>
      </c>
      <c r="G45" s="7" t="s">
        <v>650</v>
      </c>
      <c r="H45" s="13" t="s">
        <v>489</v>
      </c>
    </row>
    <row r="46" spans="1:8" ht="135" x14ac:dyDescent="0.2">
      <c r="A46" s="6">
        <v>42</v>
      </c>
      <c r="B46" s="7" t="s">
        <v>154</v>
      </c>
      <c r="C46" s="6" t="s">
        <v>155</v>
      </c>
      <c r="D46" s="7" t="s">
        <v>651</v>
      </c>
      <c r="E46" s="7" t="s">
        <v>652</v>
      </c>
      <c r="F46" s="7" t="s">
        <v>653</v>
      </c>
      <c r="G46" s="7" t="s">
        <v>654</v>
      </c>
      <c r="H46" s="4" t="s">
        <v>655</v>
      </c>
    </row>
    <row r="47" spans="1:8" ht="90" x14ac:dyDescent="0.2">
      <c r="A47" s="6">
        <v>43</v>
      </c>
      <c r="B47" s="7" t="s">
        <v>157</v>
      </c>
      <c r="C47" s="6" t="s">
        <v>158</v>
      </c>
      <c r="D47" s="7" t="s">
        <v>656</v>
      </c>
      <c r="E47" s="7" t="s">
        <v>657</v>
      </c>
      <c r="F47" s="7" t="s">
        <v>489</v>
      </c>
      <c r="G47" s="7" t="s">
        <v>658</v>
      </c>
      <c r="H47" s="4" t="s">
        <v>659</v>
      </c>
    </row>
    <row r="48" spans="1:8" ht="60" x14ac:dyDescent="0.2">
      <c r="A48" s="6">
        <v>44</v>
      </c>
      <c r="B48" s="7" t="s">
        <v>160</v>
      </c>
      <c r="C48" s="6" t="s">
        <v>161</v>
      </c>
      <c r="D48" s="7" t="s">
        <v>660</v>
      </c>
      <c r="E48" s="7" t="s">
        <v>661</v>
      </c>
      <c r="F48" s="7" t="s">
        <v>489</v>
      </c>
      <c r="G48" s="7" t="s">
        <v>519</v>
      </c>
      <c r="H48" s="4" t="s">
        <v>662</v>
      </c>
    </row>
    <row r="49" spans="1:8" ht="120" x14ac:dyDescent="0.2">
      <c r="A49" s="6">
        <v>45</v>
      </c>
      <c r="B49" s="7" t="s">
        <v>163</v>
      </c>
      <c r="C49" s="6" t="s">
        <v>164</v>
      </c>
      <c r="D49" s="7" t="s">
        <v>663</v>
      </c>
      <c r="E49" s="7" t="s">
        <v>664</v>
      </c>
      <c r="F49" s="7" t="s">
        <v>665</v>
      </c>
      <c r="G49" s="7" t="s">
        <v>666</v>
      </c>
      <c r="H49" s="4" t="s">
        <v>667</v>
      </c>
    </row>
    <row r="50" spans="1:8" ht="105" x14ac:dyDescent="0.2">
      <c r="A50" s="6">
        <v>46</v>
      </c>
      <c r="B50" s="7" t="s">
        <v>166</v>
      </c>
      <c r="C50" s="6" t="s">
        <v>167</v>
      </c>
      <c r="D50" s="7" t="s">
        <v>668</v>
      </c>
      <c r="E50" s="7" t="s">
        <v>669</v>
      </c>
      <c r="F50" s="7" t="s">
        <v>489</v>
      </c>
      <c r="G50" s="7" t="s">
        <v>670</v>
      </c>
      <c r="H50" s="4" t="s">
        <v>671</v>
      </c>
    </row>
    <row r="51" spans="1:8" ht="75" x14ac:dyDescent="0.2">
      <c r="A51" s="6">
        <v>47</v>
      </c>
      <c r="B51" s="7" t="s">
        <v>169</v>
      </c>
      <c r="C51" s="6" t="s">
        <v>170</v>
      </c>
      <c r="D51" s="7" t="s">
        <v>672</v>
      </c>
      <c r="E51" s="7" t="s">
        <v>673</v>
      </c>
      <c r="F51" s="7" t="s">
        <v>489</v>
      </c>
      <c r="G51" s="7" t="s">
        <v>519</v>
      </c>
      <c r="H51" s="4" t="s">
        <v>674</v>
      </c>
    </row>
    <row r="52" spans="1:8" ht="60" x14ac:dyDescent="0.2">
      <c r="A52" s="6">
        <v>48</v>
      </c>
      <c r="B52" s="7" t="s">
        <v>172</v>
      </c>
      <c r="C52" s="6" t="s">
        <v>173</v>
      </c>
      <c r="D52" s="7" t="s">
        <v>675</v>
      </c>
      <c r="E52" s="7" t="s">
        <v>676</v>
      </c>
      <c r="F52" s="7" t="s">
        <v>489</v>
      </c>
      <c r="G52" s="7" t="s">
        <v>677</v>
      </c>
      <c r="H52" s="4" t="s">
        <v>678</v>
      </c>
    </row>
    <row r="53" spans="1:8" ht="105" x14ac:dyDescent="0.2">
      <c r="A53" s="6">
        <v>49</v>
      </c>
      <c r="B53" s="7" t="s">
        <v>175</v>
      </c>
      <c r="C53" s="6" t="s">
        <v>176</v>
      </c>
      <c r="D53" s="7" t="s">
        <v>679</v>
      </c>
      <c r="E53" s="7" t="s">
        <v>680</v>
      </c>
      <c r="F53" s="7" t="s">
        <v>489</v>
      </c>
      <c r="G53" s="7" t="s">
        <v>681</v>
      </c>
      <c r="H53" s="4" t="s">
        <v>682</v>
      </c>
    </row>
    <row r="54" spans="1:8" ht="105" x14ac:dyDescent="0.2">
      <c r="A54" s="6">
        <v>50</v>
      </c>
      <c r="B54" s="7" t="s">
        <v>178</v>
      </c>
      <c r="C54" s="6" t="s">
        <v>179</v>
      </c>
      <c r="D54" s="7" t="s">
        <v>683</v>
      </c>
      <c r="E54" s="7" t="s">
        <v>684</v>
      </c>
      <c r="F54" s="7" t="s">
        <v>489</v>
      </c>
      <c r="G54" s="7" t="s">
        <v>685</v>
      </c>
      <c r="H54" s="4" t="s">
        <v>686</v>
      </c>
    </row>
    <row r="55" spans="1:8" ht="105" x14ac:dyDescent="0.2">
      <c r="A55" s="6">
        <v>51</v>
      </c>
      <c r="B55" s="7" t="s">
        <v>181</v>
      </c>
      <c r="C55" s="6" t="s">
        <v>182</v>
      </c>
      <c r="D55" s="7" t="s">
        <v>687</v>
      </c>
      <c r="E55" s="7" t="s">
        <v>688</v>
      </c>
      <c r="F55" s="7" t="s">
        <v>489</v>
      </c>
      <c r="G55" s="7" t="s">
        <v>689</v>
      </c>
      <c r="H55" s="4" t="s">
        <v>690</v>
      </c>
    </row>
    <row r="56" spans="1:8" ht="135" x14ac:dyDescent="0.2">
      <c r="A56" s="6">
        <v>52</v>
      </c>
      <c r="B56" s="7" t="s">
        <v>184</v>
      </c>
      <c r="C56" s="6" t="s">
        <v>185</v>
      </c>
      <c r="D56" s="7" t="s">
        <v>691</v>
      </c>
      <c r="E56" s="7" t="s">
        <v>692</v>
      </c>
      <c r="F56" s="7" t="s">
        <v>489</v>
      </c>
      <c r="G56" s="7" t="s">
        <v>519</v>
      </c>
      <c r="H56" s="4" t="s">
        <v>693</v>
      </c>
    </row>
    <row r="57" spans="1:8" ht="135" x14ac:dyDescent="0.2">
      <c r="A57" s="6">
        <v>53</v>
      </c>
      <c r="B57" s="7" t="s">
        <v>187</v>
      </c>
      <c r="C57" s="6" t="s">
        <v>188</v>
      </c>
      <c r="D57" s="7" t="s">
        <v>694</v>
      </c>
      <c r="E57" s="7" t="s">
        <v>695</v>
      </c>
      <c r="F57" s="7" t="s">
        <v>696</v>
      </c>
      <c r="G57" s="7" t="s">
        <v>697</v>
      </c>
      <c r="H57" s="13" t="s">
        <v>698</v>
      </c>
    </row>
    <row r="58" spans="1:8" ht="165" x14ac:dyDescent="0.2">
      <c r="A58" s="6">
        <v>54</v>
      </c>
      <c r="B58" s="7" t="s">
        <v>190</v>
      </c>
      <c r="C58" s="6" t="s">
        <v>191</v>
      </c>
      <c r="D58" s="7" t="s">
        <v>699</v>
      </c>
      <c r="E58" s="7" t="s">
        <v>700</v>
      </c>
      <c r="F58" s="7" t="s">
        <v>489</v>
      </c>
      <c r="G58" s="7" t="s">
        <v>701</v>
      </c>
      <c r="H58" s="4" t="s">
        <v>702</v>
      </c>
    </row>
    <row r="59" spans="1:8" ht="105" x14ac:dyDescent="0.2">
      <c r="A59" s="6">
        <v>55</v>
      </c>
      <c r="B59" s="7" t="s">
        <v>193</v>
      </c>
      <c r="C59" s="6" t="s">
        <v>194</v>
      </c>
      <c r="D59" s="7" t="s">
        <v>703</v>
      </c>
      <c r="E59" s="7" t="s">
        <v>704</v>
      </c>
      <c r="F59" s="7" t="s">
        <v>489</v>
      </c>
      <c r="G59" s="7" t="s">
        <v>705</v>
      </c>
      <c r="H59" s="4" t="s">
        <v>706</v>
      </c>
    </row>
    <row r="60" spans="1:8" ht="195" x14ac:dyDescent="0.2">
      <c r="A60" s="6">
        <v>56</v>
      </c>
      <c r="B60" s="7" t="s">
        <v>196</v>
      </c>
      <c r="C60" s="6" t="s">
        <v>197</v>
      </c>
      <c r="D60" s="7" t="s">
        <v>707</v>
      </c>
      <c r="E60" s="7" t="s">
        <v>708</v>
      </c>
      <c r="F60" s="7" t="s">
        <v>489</v>
      </c>
      <c r="G60" s="7" t="s">
        <v>709</v>
      </c>
      <c r="H60" s="4" t="s">
        <v>710</v>
      </c>
    </row>
    <row r="61" spans="1:8" ht="120" x14ac:dyDescent="0.2">
      <c r="A61" s="6">
        <v>57</v>
      </c>
      <c r="B61" s="7" t="s">
        <v>199</v>
      </c>
      <c r="C61" s="6" t="s">
        <v>200</v>
      </c>
      <c r="D61" s="7" t="s">
        <v>711</v>
      </c>
      <c r="E61" s="7" t="s">
        <v>712</v>
      </c>
      <c r="F61" s="7" t="s">
        <v>713</v>
      </c>
      <c r="G61" s="7" t="s">
        <v>714</v>
      </c>
      <c r="H61" s="4" t="s">
        <v>715</v>
      </c>
    </row>
    <row r="62" spans="1:8" ht="90" x14ac:dyDescent="0.2">
      <c r="A62" s="6">
        <v>58</v>
      </c>
      <c r="B62" s="7" t="s">
        <v>202</v>
      </c>
      <c r="C62" s="6" t="s">
        <v>203</v>
      </c>
      <c r="D62" s="7" t="s">
        <v>716</v>
      </c>
      <c r="E62" s="7" t="s">
        <v>717</v>
      </c>
      <c r="F62" s="7" t="s">
        <v>489</v>
      </c>
      <c r="G62" s="7" t="s">
        <v>718</v>
      </c>
      <c r="H62" s="4" t="s">
        <v>719</v>
      </c>
    </row>
    <row r="63" spans="1:8" ht="135" x14ac:dyDescent="0.2">
      <c r="A63" s="6">
        <v>59</v>
      </c>
      <c r="B63" s="7" t="s">
        <v>205</v>
      </c>
      <c r="C63" s="6" t="s">
        <v>206</v>
      </c>
      <c r="D63" s="7" t="s">
        <v>720</v>
      </c>
      <c r="E63" s="7" t="s">
        <v>721</v>
      </c>
      <c r="F63" s="7" t="s">
        <v>489</v>
      </c>
      <c r="G63" s="7" t="s">
        <v>722</v>
      </c>
      <c r="H63" s="4" t="s">
        <v>723</v>
      </c>
    </row>
    <row r="64" spans="1:8" ht="90" x14ac:dyDescent="0.2">
      <c r="A64" s="6">
        <v>60</v>
      </c>
      <c r="B64" s="7" t="s">
        <v>208</v>
      </c>
      <c r="C64" s="6" t="s">
        <v>209</v>
      </c>
      <c r="D64" s="7" t="s">
        <v>724</v>
      </c>
      <c r="E64" s="7" t="s">
        <v>725</v>
      </c>
      <c r="F64" s="7" t="s">
        <v>489</v>
      </c>
      <c r="G64" s="7" t="s">
        <v>519</v>
      </c>
      <c r="H64" s="4" t="s">
        <v>726</v>
      </c>
    </row>
    <row r="65" spans="1:8" ht="135" x14ac:dyDescent="0.2">
      <c r="A65" s="6">
        <v>61</v>
      </c>
      <c r="B65" s="7" t="s">
        <v>211</v>
      </c>
      <c r="C65" s="6" t="s">
        <v>212</v>
      </c>
      <c r="D65" s="7" t="s">
        <v>727</v>
      </c>
      <c r="E65" s="7" t="s">
        <v>728</v>
      </c>
      <c r="F65" s="7" t="s">
        <v>729</v>
      </c>
      <c r="G65" s="7" t="s">
        <v>730</v>
      </c>
      <c r="H65" s="4" t="s">
        <v>731</v>
      </c>
    </row>
    <row r="66" spans="1:8" ht="150" x14ac:dyDescent="0.2">
      <c r="A66" s="6">
        <v>62</v>
      </c>
      <c r="B66" s="7" t="s">
        <v>214</v>
      </c>
      <c r="C66" s="6" t="s">
        <v>215</v>
      </c>
      <c r="D66" s="7" t="s">
        <v>732</v>
      </c>
      <c r="E66" s="7" t="s">
        <v>733</v>
      </c>
      <c r="F66" s="7" t="s">
        <v>489</v>
      </c>
      <c r="G66" s="7" t="s">
        <v>734</v>
      </c>
      <c r="H66" s="4" t="s">
        <v>735</v>
      </c>
    </row>
    <row r="67" spans="1:8" ht="135" x14ac:dyDescent="0.2">
      <c r="A67" s="6">
        <v>63</v>
      </c>
      <c r="B67" s="7" t="s">
        <v>217</v>
      </c>
      <c r="C67" s="6" t="s">
        <v>218</v>
      </c>
      <c r="D67" s="7" t="s">
        <v>736</v>
      </c>
      <c r="E67" s="7" t="s">
        <v>737</v>
      </c>
      <c r="F67" s="7" t="s">
        <v>489</v>
      </c>
      <c r="G67" s="7" t="s">
        <v>738</v>
      </c>
      <c r="H67" s="4" t="s">
        <v>739</v>
      </c>
    </row>
    <row r="68" spans="1:8" ht="90" x14ac:dyDescent="0.2">
      <c r="A68" s="6">
        <v>64</v>
      </c>
      <c r="B68" s="7" t="s">
        <v>220</v>
      </c>
      <c r="C68" s="6" t="s">
        <v>221</v>
      </c>
      <c r="D68" s="7" t="s">
        <v>740</v>
      </c>
      <c r="E68" s="7" t="s">
        <v>741</v>
      </c>
      <c r="F68" s="7" t="s">
        <v>489</v>
      </c>
      <c r="G68" s="7" t="s">
        <v>742</v>
      </c>
      <c r="H68" s="4" t="s">
        <v>743</v>
      </c>
    </row>
    <row r="69" spans="1:8" ht="150" x14ac:dyDescent="0.2">
      <c r="A69" s="6">
        <v>65</v>
      </c>
      <c r="B69" s="7" t="s">
        <v>223</v>
      </c>
      <c r="C69" s="6" t="s">
        <v>224</v>
      </c>
      <c r="D69" s="7" t="s">
        <v>744</v>
      </c>
      <c r="E69" s="7" t="s">
        <v>745</v>
      </c>
      <c r="F69" s="7" t="s">
        <v>746</v>
      </c>
      <c r="G69" s="7" t="s">
        <v>747</v>
      </c>
      <c r="H69" s="4" t="s">
        <v>748</v>
      </c>
    </row>
    <row r="70" spans="1:8" ht="90" x14ac:dyDescent="0.2">
      <c r="A70" s="6">
        <v>66</v>
      </c>
      <c r="B70" s="7" t="s">
        <v>226</v>
      </c>
      <c r="C70" s="6" t="s">
        <v>227</v>
      </c>
      <c r="D70" s="7" t="s">
        <v>749</v>
      </c>
      <c r="E70" s="7" t="s">
        <v>750</v>
      </c>
      <c r="F70" s="7" t="s">
        <v>489</v>
      </c>
      <c r="G70" s="7" t="s">
        <v>751</v>
      </c>
      <c r="H70" s="4" t="s">
        <v>752</v>
      </c>
    </row>
    <row r="71" spans="1:8" ht="105" x14ac:dyDescent="0.2">
      <c r="A71" s="6">
        <v>67</v>
      </c>
      <c r="B71" s="7" t="s">
        <v>229</v>
      </c>
      <c r="C71" s="6" t="s">
        <v>230</v>
      </c>
      <c r="D71" s="7" t="s">
        <v>753</v>
      </c>
      <c r="E71" s="7" t="s">
        <v>754</v>
      </c>
      <c r="F71" s="7" t="s">
        <v>489</v>
      </c>
      <c r="G71" s="7" t="s">
        <v>755</v>
      </c>
      <c r="H71" s="4" t="s">
        <v>756</v>
      </c>
    </row>
    <row r="72" spans="1:8" ht="90" x14ac:dyDescent="0.2">
      <c r="A72" s="6">
        <v>68</v>
      </c>
      <c r="B72" s="7" t="s">
        <v>232</v>
      </c>
      <c r="C72" s="6" t="s">
        <v>233</v>
      </c>
      <c r="D72" s="7" t="s">
        <v>757</v>
      </c>
      <c r="E72" s="7" t="s">
        <v>758</v>
      </c>
      <c r="F72" s="7" t="s">
        <v>489</v>
      </c>
      <c r="G72" s="7" t="s">
        <v>759</v>
      </c>
      <c r="H72" s="4" t="s">
        <v>760</v>
      </c>
    </row>
    <row r="73" spans="1:8" ht="135" x14ac:dyDescent="0.2">
      <c r="A73" s="6">
        <v>69</v>
      </c>
      <c r="B73" s="7" t="s">
        <v>235</v>
      </c>
      <c r="C73" s="6" t="s">
        <v>236</v>
      </c>
      <c r="D73" s="7" t="s">
        <v>761</v>
      </c>
      <c r="E73" s="7" t="s">
        <v>762</v>
      </c>
      <c r="F73" s="7" t="s">
        <v>489</v>
      </c>
      <c r="G73" s="7" t="s">
        <v>763</v>
      </c>
      <c r="H73" s="4" t="s">
        <v>764</v>
      </c>
    </row>
    <row r="74" spans="1:8" ht="105" x14ac:dyDescent="0.2">
      <c r="A74" s="6">
        <v>70</v>
      </c>
      <c r="B74" s="7" t="s">
        <v>238</v>
      </c>
      <c r="C74" s="6" t="s">
        <v>239</v>
      </c>
      <c r="D74" s="7" t="s">
        <v>765</v>
      </c>
      <c r="E74" s="7" t="s">
        <v>766</v>
      </c>
      <c r="F74" s="7" t="s">
        <v>489</v>
      </c>
      <c r="G74" s="7" t="s">
        <v>767</v>
      </c>
      <c r="H74" s="4" t="s">
        <v>768</v>
      </c>
    </row>
    <row r="75" spans="1:8" ht="75" x14ac:dyDescent="0.2">
      <c r="A75" s="6">
        <v>71</v>
      </c>
      <c r="B75" s="7" t="s">
        <v>241</v>
      </c>
      <c r="C75" s="6" t="s">
        <v>242</v>
      </c>
      <c r="D75" s="7" t="s">
        <v>769</v>
      </c>
      <c r="E75" s="7" t="s">
        <v>770</v>
      </c>
      <c r="F75" s="7" t="s">
        <v>489</v>
      </c>
      <c r="G75" s="7" t="s">
        <v>771</v>
      </c>
      <c r="H75" s="13" t="s">
        <v>628</v>
      </c>
    </row>
    <row r="76" spans="1:8" ht="120" x14ac:dyDescent="0.2">
      <c r="A76" s="6">
        <v>72</v>
      </c>
      <c r="B76" s="7" t="s">
        <v>244</v>
      </c>
      <c r="C76" s="6" t="s">
        <v>245</v>
      </c>
      <c r="D76" s="7" t="s">
        <v>772</v>
      </c>
      <c r="E76" s="7" t="s">
        <v>773</v>
      </c>
      <c r="F76" s="7" t="s">
        <v>489</v>
      </c>
      <c r="G76" s="7" t="s">
        <v>774</v>
      </c>
      <c r="H76" s="4" t="s">
        <v>775</v>
      </c>
    </row>
    <row r="77" spans="1:8" ht="165" x14ac:dyDescent="0.2">
      <c r="A77" s="6">
        <v>73</v>
      </c>
      <c r="B77" s="7" t="s">
        <v>247</v>
      </c>
      <c r="C77" s="6" t="s">
        <v>248</v>
      </c>
      <c r="D77" s="7" t="s">
        <v>776</v>
      </c>
      <c r="E77" s="7" t="s">
        <v>777</v>
      </c>
      <c r="F77" s="7" t="s">
        <v>489</v>
      </c>
      <c r="G77" s="7" t="s">
        <v>778</v>
      </c>
      <c r="H77" s="4" t="s">
        <v>779</v>
      </c>
    </row>
    <row r="78" spans="1:8" ht="105" x14ac:dyDescent="0.2">
      <c r="A78" s="6">
        <v>74</v>
      </c>
      <c r="B78" s="7" t="s">
        <v>250</v>
      </c>
      <c r="C78" s="6" t="s">
        <v>251</v>
      </c>
      <c r="D78" s="7" t="s">
        <v>780</v>
      </c>
      <c r="E78" s="7" t="s">
        <v>781</v>
      </c>
      <c r="F78" s="7" t="s">
        <v>489</v>
      </c>
      <c r="G78" s="7" t="s">
        <v>782</v>
      </c>
      <c r="H78" s="4" t="s">
        <v>783</v>
      </c>
    </row>
    <row r="79" spans="1:8" ht="165" x14ac:dyDescent="0.2">
      <c r="A79" s="6">
        <v>75</v>
      </c>
      <c r="B79" s="7" t="s">
        <v>253</v>
      </c>
      <c r="C79" s="6" t="s">
        <v>254</v>
      </c>
      <c r="D79" s="7" t="s">
        <v>784</v>
      </c>
      <c r="E79" s="7" t="s">
        <v>785</v>
      </c>
      <c r="F79" s="7" t="s">
        <v>786</v>
      </c>
      <c r="G79" s="7" t="s">
        <v>787</v>
      </c>
      <c r="H79" s="4" t="s">
        <v>788</v>
      </c>
    </row>
    <row r="80" spans="1:8" ht="195" x14ac:dyDescent="0.2">
      <c r="A80" s="6">
        <v>76</v>
      </c>
      <c r="B80" s="7" t="s">
        <v>256</v>
      </c>
      <c r="C80" s="6" t="s">
        <v>257</v>
      </c>
      <c r="D80" s="7" t="s">
        <v>789</v>
      </c>
      <c r="E80" s="7" t="s">
        <v>790</v>
      </c>
      <c r="F80" s="7" t="s">
        <v>791</v>
      </c>
      <c r="G80" s="7" t="s">
        <v>792</v>
      </c>
      <c r="H80" s="4" t="s">
        <v>793</v>
      </c>
    </row>
    <row r="81" spans="1:8" ht="150" x14ac:dyDescent="0.2">
      <c r="A81" s="6">
        <v>77</v>
      </c>
      <c r="B81" s="7" t="s">
        <v>259</v>
      </c>
      <c r="C81" s="6" t="s">
        <v>260</v>
      </c>
      <c r="D81" s="7" t="s">
        <v>794</v>
      </c>
      <c r="E81" s="7" t="s">
        <v>795</v>
      </c>
      <c r="F81" s="7" t="s">
        <v>489</v>
      </c>
      <c r="G81" s="7" t="s">
        <v>796</v>
      </c>
      <c r="H81" s="4" t="s">
        <v>797</v>
      </c>
    </row>
    <row r="82" spans="1:8" ht="75" x14ac:dyDescent="0.2">
      <c r="A82" s="6">
        <v>78</v>
      </c>
      <c r="B82" s="7" t="s">
        <v>262</v>
      </c>
      <c r="C82" s="6" t="s">
        <v>263</v>
      </c>
      <c r="D82" s="7" t="s">
        <v>798</v>
      </c>
      <c r="E82" s="7" t="s">
        <v>799</v>
      </c>
      <c r="F82" s="7" t="s">
        <v>489</v>
      </c>
      <c r="G82" s="7" t="s">
        <v>800</v>
      </c>
      <c r="H82" s="4" t="s">
        <v>801</v>
      </c>
    </row>
    <row r="83" spans="1:8" ht="90" x14ac:dyDescent="0.2">
      <c r="A83" s="6">
        <v>79</v>
      </c>
      <c r="B83" s="7" t="s">
        <v>265</v>
      </c>
      <c r="C83" s="6" t="s">
        <v>266</v>
      </c>
      <c r="D83" s="7" t="s">
        <v>802</v>
      </c>
      <c r="E83" s="7" t="s">
        <v>803</v>
      </c>
      <c r="F83" s="7" t="s">
        <v>489</v>
      </c>
      <c r="G83" s="7" t="s">
        <v>804</v>
      </c>
      <c r="H83" s="4" t="s">
        <v>805</v>
      </c>
    </row>
    <row r="84" spans="1:8" ht="75" x14ac:dyDescent="0.2">
      <c r="A84" s="6">
        <v>80</v>
      </c>
      <c r="B84" s="7" t="s">
        <v>268</v>
      </c>
      <c r="C84" s="6" t="s">
        <v>269</v>
      </c>
      <c r="D84" s="7" t="s">
        <v>806</v>
      </c>
      <c r="E84" s="7" t="s">
        <v>807</v>
      </c>
      <c r="F84" s="7" t="s">
        <v>489</v>
      </c>
      <c r="G84" s="7" t="s">
        <v>808</v>
      </c>
      <c r="H84" s="4" t="s">
        <v>809</v>
      </c>
    </row>
    <row r="85" spans="1:8" ht="75" x14ac:dyDescent="0.2">
      <c r="A85" s="6">
        <v>81</v>
      </c>
      <c r="B85" s="7" t="s">
        <v>271</v>
      </c>
      <c r="C85" s="6" t="s">
        <v>272</v>
      </c>
      <c r="D85" s="7" t="s">
        <v>810</v>
      </c>
      <c r="E85" s="7" t="s">
        <v>811</v>
      </c>
      <c r="F85" s="7" t="s">
        <v>489</v>
      </c>
      <c r="G85" s="7" t="s">
        <v>519</v>
      </c>
      <c r="H85" s="4" t="s">
        <v>812</v>
      </c>
    </row>
    <row r="86" spans="1:8" ht="75" x14ac:dyDescent="0.2">
      <c r="A86" s="6">
        <v>82</v>
      </c>
      <c r="B86" s="7" t="s">
        <v>274</v>
      </c>
      <c r="C86" s="6" t="s">
        <v>275</v>
      </c>
      <c r="D86" s="7" t="s">
        <v>813</v>
      </c>
      <c r="E86" s="7" t="s">
        <v>814</v>
      </c>
      <c r="F86" s="7" t="s">
        <v>489</v>
      </c>
      <c r="G86" s="7" t="s">
        <v>815</v>
      </c>
      <c r="H86" s="4" t="s">
        <v>816</v>
      </c>
    </row>
    <row r="87" spans="1:8" ht="105" x14ac:dyDescent="0.2">
      <c r="A87" s="6">
        <v>83</v>
      </c>
      <c r="B87" s="7" t="s">
        <v>277</v>
      </c>
      <c r="C87" s="6" t="s">
        <v>278</v>
      </c>
      <c r="D87" s="7" t="s">
        <v>817</v>
      </c>
      <c r="E87" s="7" t="s">
        <v>818</v>
      </c>
      <c r="F87" s="7" t="s">
        <v>489</v>
      </c>
      <c r="G87" s="7" t="s">
        <v>819</v>
      </c>
      <c r="H87" s="4" t="s">
        <v>820</v>
      </c>
    </row>
    <row r="88" spans="1:8" ht="105" x14ac:dyDescent="0.2">
      <c r="A88" s="6">
        <v>84</v>
      </c>
      <c r="B88" s="7" t="s">
        <v>280</v>
      </c>
      <c r="C88" s="6" t="s">
        <v>281</v>
      </c>
      <c r="D88" s="7" t="s">
        <v>821</v>
      </c>
      <c r="E88" s="7" t="s">
        <v>822</v>
      </c>
      <c r="F88" s="7" t="s">
        <v>823</v>
      </c>
      <c r="G88" s="7" t="s">
        <v>824</v>
      </c>
      <c r="H88" s="4" t="s">
        <v>825</v>
      </c>
    </row>
    <row r="89" spans="1:8" ht="135" x14ac:dyDescent="0.2">
      <c r="A89" s="6">
        <v>85</v>
      </c>
      <c r="B89" s="7" t="s">
        <v>283</v>
      </c>
      <c r="C89" s="6" t="s">
        <v>284</v>
      </c>
      <c r="D89" s="7" t="s">
        <v>826</v>
      </c>
      <c r="E89" s="7" t="s">
        <v>827</v>
      </c>
      <c r="F89" s="7" t="s">
        <v>489</v>
      </c>
      <c r="G89" s="7" t="s">
        <v>828</v>
      </c>
      <c r="H89" s="4" t="s">
        <v>829</v>
      </c>
    </row>
    <row r="90" spans="1:8" ht="135" x14ac:dyDescent="0.2">
      <c r="A90" s="6">
        <v>86</v>
      </c>
      <c r="B90" s="7" t="s">
        <v>286</v>
      </c>
      <c r="C90" s="6" t="s">
        <v>287</v>
      </c>
      <c r="D90" s="7" t="s">
        <v>830</v>
      </c>
      <c r="E90" s="7" t="s">
        <v>831</v>
      </c>
      <c r="F90" s="7" t="s">
        <v>832</v>
      </c>
      <c r="G90" s="7" t="s">
        <v>833</v>
      </c>
      <c r="H90" s="4" t="s">
        <v>834</v>
      </c>
    </row>
    <row r="91" spans="1:8" ht="105" x14ac:dyDescent="0.2">
      <c r="A91" s="6">
        <v>87</v>
      </c>
      <c r="B91" s="7" t="s">
        <v>289</v>
      </c>
      <c r="C91" s="6" t="s">
        <v>290</v>
      </c>
      <c r="D91" s="7" t="s">
        <v>835</v>
      </c>
      <c r="E91" s="7" t="s">
        <v>836</v>
      </c>
      <c r="F91" s="7" t="s">
        <v>489</v>
      </c>
      <c r="G91" s="7" t="s">
        <v>519</v>
      </c>
      <c r="H91" s="4" t="s">
        <v>837</v>
      </c>
    </row>
    <row r="92" spans="1:8" ht="90" x14ac:dyDescent="0.2">
      <c r="A92" s="6">
        <v>88</v>
      </c>
      <c r="B92" s="7" t="s">
        <v>292</v>
      </c>
      <c r="C92" s="6" t="s">
        <v>293</v>
      </c>
      <c r="D92" s="7" t="s">
        <v>838</v>
      </c>
      <c r="E92" s="7" t="s">
        <v>839</v>
      </c>
      <c r="F92" s="7" t="s">
        <v>489</v>
      </c>
      <c r="G92" s="7" t="s">
        <v>519</v>
      </c>
      <c r="H92" s="4" t="s">
        <v>840</v>
      </c>
    </row>
    <row r="93" spans="1:8" ht="105" x14ac:dyDescent="0.2">
      <c r="A93" s="6">
        <v>89</v>
      </c>
      <c r="B93" s="7" t="s">
        <v>295</v>
      </c>
      <c r="C93" s="6" t="s">
        <v>296</v>
      </c>
      <c r="D93" s="7" t="s">
        <v>841</v>
      </c>
      <c r="E93" s="7" t="s">
        <v>842</v>
      </c>
      <c r="F93" s="7" t="s">
        <v>489</v>
      </c>
      <c r="G93" s="7" t="s">
        <v>843</v>
      </c>
      <c r="H93" s="4" t="s">
        <v>844</v>
      </c>
    </row>
    <row r="94" spans="1:8" ht="105" x14ac:dyDescent="0.2">
      <c r="A94" s="6">
        <v>90</v>
      </c>
      <c r="B94" s="7" t="s">
        <v>298</v>
      </c>
      <c r="C94" s="6" t="s">
        <v>299</v>
      </c>
      <c r="D94" s="7" t="s">
        <v>845</v>
      </c>
      <c r="E94" s="7" t="s">
        <v>846</v>
      </c>
      <c r="F94" s="7" t="s">
        <v>489</v>
      </c>
      <c r="G94" s="7" t="s">
        <v>847</v>
      </c>
      <c r="H94" s="4" t="s">
        <v>848</v>
      </c>
    </row>
    <row r="95" spans="1:8" ht="90" x14ac:dyDescent="0.2">
      <c r="A95" s="6">
        <v>91</v>
      </c>
      <c r="B95" s="7" t="s">
        <v>301</v>
      </c>
      <c r="C95" s="6" t="s">
        <v>302</v>
      </c>
      <c r="D95" s="7" t="s">
        <v>849</v>
      </c>
      <c r="E95" s="7" t="s">
        <v>850</v>
      </c>
      <c r="F95" s="7" t="s">
        <v>489</v>
      </c>
      <c r="G95" s="7" t="s">
        <v>851</v>
      </c>
      <c r="H95" s="4" t="s">
        <v>852</v>
      </c>
    </row>
    <row r="96" spans="1:8" ht="135" x14ac:dyDescent="0.2">
      <c r="A96" s="6">
        <v>92</v>
      </c>
      <c r="B96" s="7" t="s">
        <v>304</v>
      </c>
      <c r="C96" s="6" t="s">
        <v>305</v>
      </c>
      <c r="D96" s="7" t="s">
        <v>853</v>
      </c>
      <c r="E96" s="7" t="s">
        <v>854</v>
      </c>
      <c r="F96" s="7" t="s">
        <v>489</v>
      </c>
      <c r="G96" s="7" t="s">
        <v>855</v>
      </c>
      <c r="H96" s="4" t="s">
        <v>856</v>
      </c>
    </row>
    <row r="97" spans="1:8" ht="90" x14ac:dyDescent="0.2">
      <c r="A97" s="6">
        <v>93</v>
      </c>
      <c r="B97" s="7" t="s">
        <v>307</v>
      </c>
      <c r="C97" s="6" t="s">
        <v>308</v>
      </c>
      <c r="D97" s="7" t="s">
        <v>857</v>
      </c>
      <c r="E97" s="7" t="s">
        <v>858</v>
      </c>
      <c r="F97" s="7" t="s">
        <v>489</v>
      </c>
      <c r="G97" s="7" t="s">
        <v>859</v>
      </c>
      <c r="H97" s="4" t="s">
        <v>860</v>
      </c>
    </row>
    <row r="98" spans="1:8" ht="165" x14ac:dyDescent="0.2">
      <c r="A98" s="6">
        <v>94</v>
      </c>
      <c r="B98" s="7" t="s">
        <v>310</v>
      </c>
      <c r="C98" s="6" t="s">
        <v>311</v>
      </c>
      <c r="D98" s="7" t="s">
        <v>861</v>
      </c>
      <c r="E98" s="7" t="s">
        <v>862</v>
      </c>
      <c r="F98" s="7" t="s">
        <v>489</v>
      </c>
      <c r="G98" s="7" t="s">
        <v>863</v>
      </c>
      <c r="H98" s="4" t="s">
        <v>864</v>
      </c>
    </row>
    <row r="99" spans="1:8" ht="150" x14ac:dyDescent="0.2">
      <c r="A99" s="6">
        <v>95</v>
      </c>
      <c r="B99" s="7" t="s">
        <v>313</v>
      </c>
      <c r="C99" s="6" t="s">
        <v>314</v>
      </c>
      <c r="D99" s="7" t="s">
        <v>865</v>
      </c>
      <c r="E99" s="7" t="s">
        <v>866</v>
      </c>
      <c r="F99" s="7" t="s">
        <v>489</v>
      </c>
      <c r="G99" s="7" t="s">
        <v>867</v>
      </c>
      <c r="H99" s="4" t="s">
        <v>868</v>
      </c>
    </row>
    <row r="100" spans="1:8" ht="90" x14ac:dyDescent="0.2">
      <c r="A100" s="6">
        <v>96</v>
      </c>
      <c r="B100" s="7" t="s">
        <v>316</v>
      </c>
      <c r="C100" s="6" t="s">
        <v>317</v>
      </c>
      <c r="D100" s="7" t="s">
        <v>869</v>
      </c>
      <c r="E100" s="7" t="s">
        <v>870</v>
      </c>
      <c r="F100" s="7" t="s">
        <v>489</v>
      </c>
      <c r="G100" s="7" t="s">
        <v>871</v>
      </c>
      <c r="H100" s="4" t="s">
        <v>872</v>
      </c>
    </row>
    <row r="101" spans="1:8" ht="90" x14ac:dyDescent="0.2">
      <c r="A101" s="6">
        <v>97</v>
      </c>
      <c r="B101" s="7" t="s">
        <v>319</v>
      </c>
      <c r="C101" s="6" t="s">
        <v>320</v>
      </c>
      <c r="D101" s="7" t="s">
        <v>873</v>
      </c>
      <c r="E101" s="7" t="s">
        <v>874</v>
      </c>
      <c r="F101" s="7" t="s">
        <v>489</v>
      </c>
      <c r="G101" s="7" t="s">
        <v>875</v>
      </c>
      <c r="H101" s="4" t="s">
        <v>876</v>
      </c>
    </row>
    <row r="102" spans="1:8" ht="90" x14ac:dyDescent="0.2">
      <c r="A102" s="6">
        <v>98</v>
      </c>
      <c r="B102" s="7" t="s">
        <v>322</v>
      </c>
      <c r="C102" s="6" t="s">
        <v>323</v>
      </c>
      <c r="D102" s="7" t="s">
        <v>877</v>
      </c>
      <c r="E102" s="7" t="s">
        <v>878</v>
      </c>
      <c r="F102" s="7" t="s">
        <v>489</v>
      </c>
      <c r="G102" s="7" t="s">
        <v>879</v>
      </c>
      <c r="H102" s="4" t="s">
        <v>880</v>
      </c>
    </row>
    <row r="103" spans="1:8" ht="90" x14ac:dyDescent="0.2">
      <c r="A103" s="6">
        <v>99</v>
      </c>
      <c r="B103" s="7" t="s">
        <v>325</v>
      </c>
      <c r="C103" s="6" t="s">
        <v>326</v>
      </c>
      <c r="D103" s="7" t="s">
        <v>881</v>
      </c>
      <c r="E103" s="7" t="s">
        <v>882</v>
      </c>
      <c r="F103" s="7" t="s">
        <v>489</v>
      </c>
      <c r="G103" s="7" t="s">
        <v>883</v>
      </c>
      <c r="H103" s="4" t="s">
        <v>884</v>
      </c>
    </row>
    <row r="104" spans="1:8" ht="105" x14ac:dyDescent="0.2">
      <c r="A104" s="6">
        <v>100</v>
      </c>
      <c r="B104" s="7" t="s">
        <v>328</v>
      </c>
      <c r="C104" s="6" t="s">
        <v>329</v>
      </c>
      <c r="D104" s="7" t="s">
        <v>885</v>
      </c>
      <c r="E104" s="7" t="s">
        <v>886</v>
      </c>
      <c r="F104" s="7" t="s">
        <v>489</v>
      </c>
      <c r="G104" s="7" t="s">
        <v>887</v>
      </c>
      <c r="H104" s="4" t="s">
        <v>888</v>
      </c>
    </row>
    <row r="105" spans="1:8" x14ac:dyDescent="0.2">
      <c r="A105" s="6">
        <v>101</v>
      </c>
      <c r="B105" s="7" t="s">
        <v>331</v>
      </c>
      <c r="C105" s="6" t="s">
        <v>332</v>
      </c>
      <c r="D105" s="7" t="s">
        <v>889</v>
      </c>
      <c r="E105" s="7"/>
      <c r="F105" s="7"/>
      <c r="G105" s="7"/>
      <c r="H105" s="13"/>
    </row>
    <row r="106" spans="1:8" ht="105" x14ac:dyDescent="0.2">
      <c r="A106" s="6">
        <v>102</v>
      </c>
      <c r="B106" s="7" t="s">
        <v>334</v>
      </c>
      <c r="C106" s="6" t="s">
        <v>335</v>
      </c>
      <c r="D106" s="7" t="s">
        <v>890</v>
      </c>
      <c r="E106" s="7" t="s">
        <v>891</v>
      </c>
      <c r="F106" s="7" t="s">
        <v>489</v>
      </c>
      <c r="G106" s="7" t="s">
        <v>892</v>
      </c>
      <c r="H106" s="4" t="s">
        <v>893</v>
      </c>
    </row>
    <row r="107" spans="1:8" ht="75" x14ac:dyDescent="0.2">
      <c r="A107" s="6">
        <v>103</v>
      </c>
      <c r="B107" s="7" t="s">
        <v>337</v>
      </c>
      <c r="C107" s="6" t="s">
        <v>338</v>
      </c>
      <c r="D107" s="7" t="s">
        <v>894</v>
      </c>
      <c r="E107" s="7" t="s">
        <v>895</v>
      </c>
      <c r="F107" s="7" t="s">
        <v>489</v>
      </c>
      <c r="G107" s="7" t="s">
        <v>896</v>
      </c>
      <c r="H107" s="4" t="s">
        <v>897</v>
      </c>
    </row>
    <row r="108" spans="1:8" ht="105" x14ac:dyDescent="0.2">
      <c r="A108" s="6">
        <v>104</v>
      </c>
      <c r="B108" s="7" t="s">
        <v>340</v>
      </c>
      <c r="C108" s="6" t="s">
        <v>341</v>
      </c>
      <c r="D108" s="7" t="s">
        <v>898</v>
      </c>
      <c r="E108" s="7" t="s">
        <v>899</v>
      </c>
      <c r="F108" s="7" t="s">
        <v>900</v>
      </c>
      <c r="G108" s="7" t="s">
        <v>901</v>
      </c>
      <c r="H108" s="4" t="s">
        <v>902</v>
      </c>
    </row>
    <row r="109" spans="1:8" ht="90" x14ac:dyDescent="0.2">
      <c r="A109" s="6">
        <v>105</v>
      </c>
      <c r="B109" s="7" t="s">
        <v>343</v>
      </c>
      <c r="C109" s="6" t="s">
        <v>344</v>
      </c>
      <c r="D109" s="7" t="s">
        <v>903</v>
      </c>
      <c r="E109" s="7" t="s">
        <v>904</v>
      </c>
      <c r="F109" s="7" t="s">
        <v>489</v>
      </c>
      <c r="G109" s="7" t="s">
        <v>905</v>
      </c>
      <c r="H109" s="4" t="s">
        <v>906</v>
      </c>
    </row>
    <row r="110" spans="1:8" ht="30" x14ac:dyDescent="0.2">
      <c r="A110" s="6">
        <v>106</v>
      </c>
      <c r="B110" s="7" t="s">
        <v>346</v>
      </c>
      <c r="C110" s="6" t="s">
        <v>347</v>
      </c>
      <c r="D110" s="7" t="s">
        <v>907</v>
      </c>
      <c r="E110" s="7" t="s">
        <v>908</v>
      </c>
      <c r="F110" s="7" t="s">
        <v>489</v>
      </c>
      <c r="G110" s="7" t="s">
        <v>519</v>
      </c>
      <c r="H110" s="4" t="s">
        <v>909</v>
      </c>
    </row>
    <row r="111" spans="1:8" ht="105" x14ac:dyDescent="0.2">
      <c r="A111" s="6">
        <v>107</v>
      </c>
      <c r="B111" s="7" t="s">
        <v>349</v>
      </c>
      <c r="C111" s="6" t="s">
        <v>350</v>
      </c>
      <c r="D111" s="7" t="s">
        <v>910</v>
      </c>
      <c r="E111" s="7" t="s">
        <v>911</v>
      </c>
      <c r="F111" s="7" t="s">
        <v>489</v>
      </c>
      <c r="G111" s="7" t="s">
        <v>912</v>
      </c>
      <c r="H111" s="4" t="s">
        <v>913</v>
      </c>
    </row>
    <row r="112" spans="1:8" ht="120" x14ac:dyDescent="0.2">
      <c r="A112" s="6">
        <v>108</v>
      </c>
      <c r="B112" s="7" t="s">
        <v>352</v>
      </c>
      <c r="C112" s="6" t="s">
        <v>353</v>
      </c>
      <c r="D112" s="7" t="s">
        <v>914</v>
      </c>
      <c r="E112" s="7" t="s">
        <v>915</v>
      </c>
      <c r="F112" s="7" t="s">
        <v>489</v>
      </c>
      <c r="G112" s="7" t="s">
        <v>916</v>
      </c>
      <c r="H112" s="4" t="s">
        <v>917</v>
      </c>
    </row>
    <row r="113" spans="1:8" ht="135" x14ac:dyDescent="0.2">
      <c r="A113" s="6">
        <v>109</v>
      </c>
      <c r="B113" s="7" t="s">
        <v>355</v>
      </c>
      <c r="C113" s="6" t="s">
        <v>356</v>
      </c>
      <c r="D113" s="7" t="s">
        <v>918</v>
      </c>
      <c r="E113" s="7" t="s">
        <v>919</v>
      </c>
      <c r="F113" s="7" t="s">
        <v>489</v>
      </c>
      <c r="G113" s="7" t="s">
        <v>920</v>
      </c>
      <c r="H113" s="4" t="s">
        <v>921</v>
      </c>
    </row>
    <row r="114" spans="1:8" ht="150" x14ac:dyDescent="0.2">
      <c r="A114" s="6">
        <v>110</v>
      </c>
      <c r="B114" s="7" t="s">
        <v>358</v>
      </c>
      <c r="C114" s="6" t="s">
        <v>359</v>
      </c>
      <c r="D114" s="7" t="s">
        <v>922</v>
      </c>
      <c r="E114" s="7" t="s">
        <v>923</v>
      </c>
      <c r="F114" s="7" t="s">
        <v>489</v>
      </c>
      <c r="G114" s="7" t="s">
        <v>924</v>
      </c>
      <c r="H114" s="4" t="s">
        <v>925</v>
      </c>
    </row>
    <row r="115" spans="1:8" ht="90" x14ac:dyDescent="0.2">
      <c r="A115" s="6">
        <v>111</v>
      </c>
      <c r="B115" s="7" t="s">
        <v>361</v>
      </c>
      <c r="C115" s="6" t="s">
        <v>362</v>
      </c>
      <c r="D115" s="7" t="s">
        <v>926</v>
      </c>
      <c r="E115" s="7" t="s">
        <v>927</v>
      </c>
      <c r="F115" s="7" t="s">
        <v>489</v>
      </c>
      <c r="G115" s="7" t="s">
        <v>928</v>
      </c>
      <c r="H115" s="4" t="s">
        <v>929</v>
      </c>
    </row>
    <row r="116" spans="1:8" ht="135" x14ac:dyDescent="0.2">
      <c r="A116" s="6">
        <v>112</v>
      </c>
      <c r="B116" s="7" t="s">
        <v>364</v>
      </c>
      <c r="C116" s="6" t="s">
        <v>365</v>
      </c>
      <c r="D116" s="7" t="s">
        <v>930</v>
      </c>
      <c r="E116" s="7" t="s">
        <v>931</v>
      </c>
      <c r="F116" s="7" t="s">
        <v>489</v>
      </c>
      <c r="G116" s="7" t="s">
        <v>932</v>
      </c>
      <c r="H116" s="4" t="s">
        <v>933</v>
      </c>
    </row>
    <row r="117" spans="1:8" ht="105" x14ac:dyDescent="0.2">
      <c r="A117" s="6">
        <v>113</v>
      </c>
      <c r="B117" s="7" t="s">
        <v>367</v>
      </c>
      <c r="C117" s="6" t="s">
        <v>368</v>
      </c>
      <c r="D117" s="7" t="s">
        <v>934</v>
      </c>
      <c r="E117" s="7" t="s">
        <v>935</v>
      </c>
      <c r="F117" s="7" t="s">
        <v>489</v>
      </c>
      <c r="G117" s="7" t="s">
        <v>519</v>
      </c>
      <c r="H117" s="4" t="s">
        <v>936</v>
      </c>
    </row>
    <row r="118" spans="1:8" ht="90" x14ac:dyDescent="0.2">
      <c r="A118" s="6">
        <v>114</v>
      </c>
      <c r="B118" s="7" t="s">
        <v>370</v>
      </c>
      <c r="C118" s="6" t="s">
        <v>371</v>
      </c>
      <c r="D118" s="7" t="s">
        <v>937</v>
      </c>
      <c r="E118" s="7" t="s">
        <v>938</v>
      </c>
      <c r="F118" s="7" t="s">
        <v>489</v>
      </c>
      <c r="G118" s="7" t="s">
        <v>939</v>
      </c>
      <c r="H118" s="4" t="s">
        <v>940</v>
      </c>
    </row>
    <row r="119" spans="1:8" ht="135" x14ac:dyDescent="0.2">
      <c r="A119" s="6">
        <v>115</v>
      </c>
      <c r="B119" s="7" t="s">
        <v>373</v>
      </c>
      <c r="C119" s="6" t="s">
        <v>374</v>
      </c>
      <c r="D119" s="7" t="s">
        <v>941</v>
      </c>
      <c r="E119" s="7" t="s">
        <v>942</v>
      </c>
      <c r="F119" s="7" t="s">
        <v>489</v>
      </c>
      <c r="G119" s="7" t="s">
        <v>943</v>
      </c>
      <c r="H119" s="4" t="s">
        <v>944</v>
      </c>
    </row>
    <row r="120" spans="1:8" ht="105" x14ac:dyDescent="0.2">
      <c r="A120" s="6">
        <v>116</v>
      </c>
      <c r="B120" s="7" t="s">
        <v>376</v>
      </c>
      <c r="C120" s="6" t="s">
        <v>377</v>
      </c>
      <c r="D120" s="7" t="s">
        <v>945</v>
      </c>
      <c r="E120" s="7" t="s">
        <v>946</v>
      </c>
      <c r="F120" s="7" t="s">
        <v>489</v>
      </c>
      <c r="G120" s="7" t="s">
        <v>947</v>
      </c>
      <c r="H120" s="4" t="s">
        <v>948</v>
      </c>
    </row>
    <row r="121" spans="1:8" ht="135" x14ac:dyDescent="0.2">
      <c r="A121" s="6">
        <v>117</v>
      </c>
      <c r="B121" s="7" t="s">
        <v>379</v>
      </c>
      <c r="C121" s="6" t="s">
        <v>380</v>
      </c>
      <c r="D121" s="7" t="s">
        <v>949</v>
      </c>
      <c r="E121" s="7" t="s">
        <v>950</v>
      </c>
      <c r="F121" s="7" t="s">
        <v>489</v>
      </c>
      <c r="G121" s="7" t="s">
        <v>951</v>
      </c>
      <c r="H121" s="4" t="s">
        <v>952</v>
      </c>
    </row>
    <row r="122" spans="1:8" ht="180" x14ac:dyDescent="0.2">
      <c r="A122" s="6">
        <v>118</v>
      </c>
      <c r="B122" s="7" t="s">
        <v>382</v>
      </c>
      <c r="C122" s="6" t="s">
        <v>383</v>
      </c>
      <c r="D122" s="7" t="s">
        <v>953</v>
      </c>
      <c r="E122" s="7" t="s">
        <v>954</v>
      </c>
      <c r="F122" s="7" t="s">
        <v>955</v>
      </c>
      <c r="G122" s="7" t="s">
        <v>956</v>
      </c>
      <c r="H122" s="4" t="s">
        <v>957</v>
      </c>
    </row>
    <row r="123" spans="1:8" ht="165" x14ac:dyDescent="0.2">
      <c r="A123" s="6">
        <v>119</v>
      </c>
      <c r="B123" s="7" t="s">
        <v>385</v>
      </c>
      <c r="C123" s="6" t="s">
        <v>386</v>
      </c>
      <c r="D123" s="7" t="s">
        <v>958</v>
      </c>
      <c r="E123" s="7" t="s">
        <v>959</v>
      </c>
      <c r="F123" s="7" t="s">
        <v>960</v>
      </c>
      <c r="G123" s="7" t="s">
        <v>961</v>
      </c>
      <c r="H123" s="4" t="s">
        <v>962</v>
      </c>
    </row>
    <row r="124" spans="1:8" ht="105" x14ac:dyDescent="0.2">
      <c r="A124" s="6">
        <v>120</v>
      </c>
      <c r="B124" s="7" t="s">
        <v>388</v>
      </c>
      <c r="C124" s="6" t="s">
        <v>389</v>
      </c>
      <c r="D124" s="7" t="s">
        <v>963</v>
      </c>
      <c r="E124" s="7" t="s">
        <v>964</v>
      </c>
      <c r="F124" s="7" t="s">
        <v>489</v>
      </c>
      <c r="G124" s="7" t="s">
        <v>965</v>
      </c>
      <c r="H124" s="4" t="s">
        <v>966</v>
      </c>
    </row>
    <row r="125" spans="1:8" ht="90" x14ac:dyDescent="0.2">
      <c r="A125" s="6">
        <v>121</v>
      </c>
      <c r="B125" s="7" t="s">
        <v>391</v>
      </c>
      <c r="C125" s="6" t="s">
        <v>392</v>
      </c>
      <c r="D125" s="7" t="s">
        <v>967</v>
      </c>
      <c r="E125" s="7" t="s">
        <v>968</v>
      </c>
      <c r="F125" s="7" t="s">
        <v>489</v>
      </c>
      <c r="G125" s="7" t="s">
        <v>969</v>
      </c>
      <c r="H125" s="4" t="s">
        <v>970</v>
      </c>
    </row>
    <row r="126" spans="1:8" ht="60" x14ac:dyDescent="0.2">
      <c r="A126" s="6">
        <v>122</v>
      </c>
      <c r="B126" s="7" t="s">
        <v>394</v>
      </c>
      <c r="C126" s="6" t="s">
        <v>395</v>
      </c>
      <c r="D126" s="7" t="s">
        <v>971</v>
      </c>
      <c r="E126" s="7" t="s">
        <v>972</v>
      </c>
      <c r="F126" s="7" t="s">
        <v>489</v>
      </c>
      <c r="G126" s="7" t="s">
        <v>973</v>
      </c>
      <c r="H126" s="13" t="s">
        <v>628</v>
      </c>
    </row>
    <row r="127" spans="1:8" ht="120" x14ac:dyDescent="0.2">
      <c r="A127" s="6">
        <v>123</v>
      </c>
      <c r="B127" s="7" t="s">
        <v>397</v>
      </c>
      <c r="C127" s="6" t="s">
        <v>398</v>
      </c>
      <c r="D127" s="7" t="s">
        <v>974</v>
      </c>
      <c r="E127" s="7" t="s">
        <v>975</v>
      </c>
      <c r="F127" s="7" t="s">
        <v>489</v>
      </c>
      <c r="G127" s="7" t="s">
        <v>976</v>
      </c>
      <c r="H127" s="4" t="s">
        <v>977</v>
      </c>
    </row>
    <row r="128" spans="1:8" ht="120" x14ac:dyDescent="0.2">
      <c r="A128" s="6">
        <v>124</v>
      </c>
      <c r="B128" s="7" t="s">
        <v>400</v>
      </c>
      <c r="C128" s="6" t="s">
        <v>401</v>
      </c>
      <c r="D128" s="7" t="s">
        <v>978</v>
      </c>
      <c r="E128" s="7" t="s">
        <v>979</v>
      </c>
      <c r="F128" s="7" t="s">
        <v>489</v>
      </c>
      <c r="G128" s="7" t="s">
        <v>980</v>
      </c>
      <c r="H128" s="4" t="s">
        <v>981</v>
      </c>
    </row>
    <row r="129" spans="1:8" ht="90" x14ac:dyDescent="0.2">
      <c r="A129" s="6">
        <v>125</v>
      </c>
      <c r="B129" s="7" t="s">
        <v>403</v>
      </c>
      <c r="C129" s="6" t="s">
        <v>404</v>
      </c>
      <c r="D129" s="7" t="s">
        <v>982</v>
      </c>
      <c r="E129" s="7" t="s">
        <v>983</v>
      </c>
      <c r="F129" s="7" t="s">
        <v>489</v>
      </c>
      <c r="G129" s="7" t="s">
        <v>984</v>
      </c>
      <c r="H129" s="4" t="s">
        <v>985</v>
      </c>
    </row>
    <row r="130" spans="1:8" ht="90" x14ac:dyDescent="0.2">
      <c r="A130" s="6">
        <v>126</v>
      </c>
      <c r="B130" s="7" t="s">
        <v>406</v>
      </c>
      <c r="C130" s="6" t="s">
        <v>407</v>
      </c>
      <c r="D130" s="7" t="s">
        <v>986</v>
      </c>
      <c r="E130" s="7" t="s">
        <v>987</v>
      </c>
      <c r="F130" s="7" t="s">
        <v>489</v>
      </c>
      <c r="G130" s="7" t="s">
        <v>988</v>
      </c>
      <c r="H130" s="4" t="s">
        <v>989</v>
      </c>
    </row>
    <row r="131" spans="1:8" ht="135" x14ac:dyDescent="0.2">
      <c r="A131" s="6">
        <v>127</v>
      </c>
      <c r="B131" s="7" t="s">
        <v>409</v>
      </c>
      <c r="C131" s="6" t="s">
        <v>410</v>
      </c>
      <c r="D131" s="7" t="s">
        <v>990</v>
      </c>
      <c r="E131" s="7" t="s">
        <v>991</v>
      </c>
      <c r="F131" s="7" t="s">
        <v>489</v>
      </c>
      <c r="G131" s="7" t="s">
        <v>992</v>
      </c>
      <c r="H131" s="4" t="s">
        <v>993</v>
      </c>
    </row>
    <row r="132" spans="1:8" ht="75" x14ac:dyDescent="0.2">
      <c r="A132" s="6">
        <v>128</v>
      </c>
      <c r="B132" s="7" t="s">
        <v>412</v>
      </c>
      <c r="C132" s="6" t="s">
        <v>413</v>
      </c>
      <c r="D132" s="7" t="s">
        <v>994</v>
      </c>
      <c r="E132" s="7" t="s">
        <v>995</v>
      </c>
      <c r="F132" s="7" t="s">
        <v>489</v>
      </c>
      <c r="G132" s="7" t="s">
        <v>996</v>
      </c>
      <c r="H132" s="4" t="s">
        <v>997</v>
      </c>
    </row>
    <row r="133" spans="1:8" ht="90" x14ac:dyDescent="0.2">
      <c r="A133" s="6">
        <v>129</v>
      </c>
      <c r="B133" s="7" t="s">
        <v>415</v>
      </c>
      <c r="C133" s="6" t="s">
        <v>416</v>
      </c>
      <c r="D133" s="7" t="s">
        <v>998</v>
      </c>
      <c r="E133" s="7" t="s">
        <v>999</v>
      </c>
      <c r="F133" s="7" t="s">
        <v>489</v>
      </c>
      <c r="G133" s="7" t="s">
        <v>1000</v>
      </c>
      <c r="H133" s="4" t="s">
        <v>1001</v>
      </c>
    </row>
    <row r="134" spans="1:8" ht="60" x14ac:dyDescent="0.2">
      <c r="A134" s="6">
        <v>130</v>
      </c>
      <c r="B134" s="7" t="s">
        <v>418</v>
      </c>
      <c r="C134" s="6" t="s">
        <v>419</v>
      </c>
      <c r="D134" s="7" t="s">
        <v>1002</v>
      </c>
      <c r="E134" s="7" t="s">
        <v>1003</v>
      </c>
      <c r="F134" s="7" t="s">
        <v>489</v>
      </c>
      <c r="G134" s="7" t="s">
        <v>519</v>
      </c>
      <c r="H134" s="4" t="s">
        <v>1004</v>
      </c>
    </row>
    <row r="135" spans="1:8" ht="105" x14ac:dyDescent="0.2">
      <c r="A135" s="6">
        <v>131</v>
      </c>
      <c r="B135" s="7" t="s">
        <v>421</v>
      </c>
      <c r="C135" s="6" t="s">
        <v>422</v>
      </c>
      <c r="D135" s="7" t="s">
        <v>1005</v>
      </c>
      <c r="E135" s="7" t="s">
        <v>1006</v>
      </c>
      <c r="F135" s="7" t="s">
        <v>1007</v>
      </c>
      <c r="G135" s="7" t="s">
        <v>1008</v>
      </c>
      <c r="H135" s="4" t="s">
        <v>1009</v>
      </c>
    </row>
    <row r="136" spans="1:8" ht="90" x14ac:dyDescent="0.2">
      <c r="A136" s="6">
        <v>132</v>
      </c>
      <c r="B136" s="7" t="s">
        <v>424</v>
      </c>
      <c r="C136" s="6" t="s">
        <v>425</v>
      </c>
      <c r="D136" s="7" t="s">
        <v>1010</v>
      </c>
      <c r="E136" s="7" t="s">
        <v>1011</v>
      </c>
      <c r="F136" s="7" t="s">
        <v>489</v>
      </c>
      <c r="G136" s="7" t="s">
        <v>1012</v>
      </c>
      <c r="H136" s="4" t="s">
        <v>1013</v>
      </c>
    </row>
    <row r="137" spans="1:8" ht="135" x14ac:dyDescent="0.2">
      <c r="A137" s="6">
        <v>133</v>
      </c>
      <c r="B137" s="7" t="s">
        <v>427</v>
      </c>
      <c r="C137" s="6" t="s">
        <v>428</v>
      </c>
      <c r="D137" s="7" t="s">
        <v>1014</v>
      </c>
      <c r="E137" s="7" t="s">
        <v>1015</v>
      </c>
      <c r="F137" s="7" t="s">
        <v>489</v>
      </c>
      <c r="G137" s="7" t="s">
        <v>1016</v>
      </c>
      <c r="H137" s="13" t="s">
        <v>1017</v>
      </c>
    </row>
    <row r="138" spans="1:8" ht="90" x14ac:dyDescent="0.2">
      <c r="A138" s="6">
        <v>134</v>
      </c>
      <c r="B138" s="7" t="s">
        <v>430</v>
      </c>
      <c r="C138" s="6" t="s">
        <v>431</v>
      </c>
      <c r="D138" s="7" t="s">
        <v>1018</v>
      </c>
      <c r="E138" s="7" t="s">
        <v>1019</v>
      </c>
      <c r="F138" s="7" t="s">
        <v>489</v>
      </c>
      <c r="G138" s="7" t="s">
        <v>1020</v>
      </c>
      <c r="H138" s="4" t="s">
        <v>1021</v>
      </c>
    </row>
    <row r="139" spans="1:8" ht="105" x14ac:dyDescent="0.2">
      <c r="A139" s="6">
        <v>135</v>
      </c>
      <c r="B139" s="7" t="s">
        <v>433</v>
      </c>
      <c r="C139" s="6" t="s">
        <v>434</v>
      </c>
      <c r="D139" s="7" t="s">
        <v>1022</v>
      </c>
      <c r="E139" s="7" t="s">
        <v>1023</v>
      </c>
      <c r="F139" s="7" t="s">
        <v>489</v>
      </c>
      <c r="G139" s="7" t="s">
        <v>1024</v>
      </c>
      <c r="H139" s="4" t="s">
        <v>1025</v>
      </c>
    </row>
    <row r="140" spans="1:8" ht="135" x14ac:dyDescent="0.2">
      <c r="A140" s="6">
        <v>136</v>
      </c>
      <c r="B140" s="7" t="s">
        <v>436</v>
      </c>
      <c r="C140" s="6" t="s">
        <v>437</v>
      </c>
      <c r="D140" s="7" t="s">
        <v>1026</v>
      </c>
      <c r="E140" s="7" t="s">
        <v>1027</v>
      </c>
      <c r="F140" s="7" t="s">
        <v>489</v>
      </c>
      <c r="G140" s="7" t="s">
        <v>1028</v>
      </c>
      <c r="H140" s="4" t="s">
        <v>1029</v>
      </c>
    </row>
    <row r="141" spans="1:8" ht="90" x14ac:dyDescent="0.2">
      <c r="A141" s="6">
        <v>137</v>
      </c>
      <c r="B141" s="7" t="s">
        <v>439</v>
      </c>
      <c r="C141" s="6" t="s">
        <v>440</v>
      </c>
      <c r="D141" s="7" t="s">
        <v>1030</v>
      </c>
      <c r="E141" s="7" t="s">
        <v>1031</v>
      </c>
      <c r="F141" s="7" t="s">
        <v>489</v>
      </c>
      <c r="G141" s="7" t="s">
        <v>1032</v>
      </c>
      <c r="H141" s="4" t="s">
        <v>1033</v>
      </c>
    </row>
    <row r="142" spans="1:8" ht="75" x14ac:dyDescent="0.2">
      <c r="A142" s="6">
        <v>138</v>
      </c>
      <c r="B142" s="7" t="s">
        <v>442</v>
      </c>
      <c r="C142" s="6" t="s">
        <v>443</v>
      </c>
      <c r="D142" s="7" t="s">
        <v>1034</v>
      </c>
      <c r="E142" s="7" t="s">
        <v>1035</v>
      </c>
      <c r="F142" s="7" t="s">
        <v>489</v>
      </c>
      <c r="G142" s="7" t="s">
        <v>1036</v>
      </c>
      <c r="H142" s="4" t="s">
        <v>1037</v>
      </c>
    </row>
    <row r="143" spans="1:8" ht="105" x14ac:dyDescent="0.2">
      <c r="A143" s="6">
        <v>139</v>
      </c>
      <c r="B143" s="7" t="s">
        <v>445</v>
      </c>
      <c r="C143" s="6" t="s">
        <v>446</v>
      </c>
      <c r="D143" s="7" t="s">
        <v>1038</v>
      </c>
      <c r="E143" s="7" t="s">
        <v>1039</v>
      </c>
      <c r="F143" s="7" t="s">
        <v>489</v>
      </c>
      <c r="G143" s="7" t="s">
        <v>1040</v>
      </c>
      <c r="H143" s="4" t="s">
        <v>1041</v>
      </c>
    </row>
    <row r="144" spans="1:8" ht="90" x14ac:dyDescent="0.2">
      <c r="A144" s="6">
        <v>140</v>
      </c>
      <c r="B144" s="7" t="s">
        <v>448</v>
      </c>
      <c r="C144" s="6" t="s">
        <v>449</v>
      </c>
      <c r="D144" s="7" t="s">
        <v>1042</v>
      </c>
      <c r="E144" s="7" t="s">
        <v>1043</v>
      </c>
      <c r="F144" s="7" t="s">
        <v>489</v>
      </c>
      <c r="G144" s="7" t="s">
        <v>1044</v>
      </c>
      <c r="H144" s="4" t="s">
        <v>1045</v>
      </c>
    </row>
    <row r="145" spans="1:8" ht="105" x14ac:dyDescent="0.2">
      <c r="A145" s="6">
        <v>141</v>
      </c>
      <c r="B145" s="7" t="s">
        <v>451</v>
      </c>
      <c r="C145" s="6" t="s">
        <v>452</v>
      </c>
      <c r="D145" s="7" t="s">
        <v>1046</v>
      </c>
      <c r="E145" s="7" t="s">
        <v>1047</v>
      </c>
      <c r="F145" s="7" t="s">
        <v>489</v>
      </c>
      <c r="G145" s="7" t="s">
        <v>519</v>
      </c>
      <c r="H145" s="4" t="s">
        <v>1048</v>
      </c>
    </row>
    <row r="146" spans="1:8" ht="180" x14ac:dyDescent="0.2">
      <c r="A146" s="6">
        <v>142</v>
      </c>
      <c r="B146" s="7" t="s">
        <v>454</v>
      </c>
      <c r="C146" s="6" t="s">
        <v>455</v>
      </c>
      <c r="D146" s="7" t="s">
        <v>1049</v>
      </c>
      <c r="E146" s="7" t="s">
        <v>1050</v>
      </c>
      <c r="F146" s="7" t="s">
        <v>1051</v>
      </c>
      <c r="G146" s="7" t="s">
        <v>1052</v>
      </c>
      <c r="H146" s="4" t="s">
        <v>1053</v>
      </c>
    </row>
    <row r="147" spans="1:8" ht="105" x14ac:dyDescent="0.2">
      <c r="A147" s="6">
        <v>143</v>
      </c>
      <c r="B147" s="7" t="s">
        <v>457</v>
      </c>
      <c r="C147" s="6" t="s">
        <v>458</v>
      </c>
      <c r="D147" s="7" t="s">
        <v>1054</v>
      </c>
      <c r="E147" s="7" t="s">
        <v>1055</v>
      </c>
      <c r="F147" s="7" t="s">
        <v>489</v>
      </c>
      <c r="G147" s="7" t="s">
        <v>1056</v>
      </c>
      <c r="H147" s="4" t="s">
        <v>1057</v>
      </c>
    </row>
    <row r="148" spans="1:8" ht="75" x14ac:dyDescent="0.2">
      <c r="A148" s="6">
        <v>144</v>
      </c>
      <c r="B148" s="7" t="s">
        <v>460</v>
      </c>
      <c r="C148" s="6" t="s">
        <v>461</v>
      </c>
      <c r="D148" s="7" t="s">
        <v>1058</v>
      </c>
      <c r="E148" s="7" t="s">
        <v>1059</v>
      </c>
      <c r="F148" s="7" t="s">
        <v>489</v>
      </c>
      <c r="G148" s="7" t="s">
        <v>1060</v>
      </c>
      <c r="H148" s="4" t="s">
        <v>1061</v>
      </c>
    </row>
    <row r="149" spans="1:8" ht="45" x14ac:dyDescent="0.2">
      <c r="A149" s="6">
        <v>145</v>
      </c>
      <c r="B149" s="7" t="s">
        <v>463</v>
      </c>
      <c r="C149" s="6" t="s">
        <v>464</v>
      </c>
      <c r="D149" s="7" t="s">
        <v>1062</v>
      </c>
      <c r="E149" s="7" t="s">
        <v>1063</v>
      </c>
      <c r="F149" s="7" t="s">
        <v>489</v>
      </c>
      <c r="G149" s="7" t="s">
        <v>1064</v>
      </c>
      <c r="H149" s="13" t="s">
        <v>628</v>
      </c>
    </row>
    <row r="150" spans="1:8" ht="75" x14ac:dyDescent="0.2">
      <c r="A150" s="6">
        <v>146</v>
      </c>
      <c r="B150" s="7" t="s">
        <v>466</v>
      </c>
      <c r="C150" s="6" t="s">
        <v>467</v>
      </c>
      <c r="D150" s="7" t="s">
        <v>1065</v>
      </c>
      <c r="E150" s="7" t="s">
        <v>1066</v>
      </c>
      <c r="F150" s="7" t="s">
        <v>489</v>
      </c>
      <c r="G150" s="7" t="s">
        <v>1067</v>
      </c>
      <c r="H150" s="13" t="s">
        <v>1068</v>
      </c>
    </row>
    <row r="151" spans="1:8" ht="75" x14ac:dyDescent="0.2">
      <c r="A151" s="6">
        <v>147</v>
      </c>
      <c r="B151" s="7" t="s">
        <v>469</v>
      </c>
      <c r="C151" s="6" t="s">
        <v>470</v>
      </c>
      <c r="D151" s="7" t="s">
        <v>1069</v>
      </c>
      <c r="E151" s="7" t="s">
        <v>1070</v>
      </c>
      <c r="F151" s="7" t="s">
        <v>489</v>
      </c>
      <c r="G151" s="7" t="s">
        <v>1071</v>
      </c>
      <c r="H151" s="13" t="s">
        <v>1072</v>
      </c>
    </row>
    <row r="152" spans="1:8" ht="165" x14ac:dyDescent="0.2">
      <c r="A152" s="6">
        <v>148</v>
      </c>
      <c r="B152" s="7" t="s">
        <v>472</v>
      </c>
      <c r="C152" s="6" t="s">
        <v>473</v>
      </c>
      <c r="D152" s="7" t="s">
        <v>1073</v>
      </c>
      <c r="E152" s="7" t="s">
        <v>1074</v>
      </c>
      <c r="F152" s="7" t="s">
        <v>1075</v>
      </c>
      <c r="G152" s="7" t="s">
        <v>1076</v>
      </c>
      <c r="H152" s="4" t="s">
        <v>1077</v>
      </c>
    </row>
    <row r="153" spans="1:8" ht="90" x14ac:dyDescent="0.2">
      <c r="A153" s="6">
        <v>149</v>
      </c>
      <c r="B153" s="7" t="s">
        <v>475</v>
      </c>
      <c r="C153" s="6" t="s">
        <v>476</v>
      </c>
      <c r="D153" s="7" t="s">
        <v>1078</v>
      </c>
      <c r="E153" s="7" t="s">
        <v>1079</v>
      </c>
      <c r="F153" s="7" t="s">
        <v>489</v>
      </c>
      <c r="G153" s="7" t="s">
        <v>1080</v>
      </c>
      <c r="H153" s="4" t="s">
        <v>1081</v>
      </c>
    </row>
    <row r="154" spans="1:8" ht="60" x14ac:dyDescent="0.2">
      <c r="A154" s="6">
        <v>150</v>
      </c>
      <c r="B154" s="7" t="s">
        <v>478</v>
      </c>
      <c r="C154" s="6" t="s">
        <v>479</v>
      </c>
      <c r="D154" s="7" t="s">
        <v>1082</v>
      </c>
      <c r="E154" s="7" t="s">
        <v>1083</v>
      </c>
      <c r="F154" s="7" t="s">
        <v>489</v>
      </c>
      <c r="G154" s="7" t="s">
        <v>519</v>
      </c>
      <c r="H154" s="4" t="s">
        <v>1084</v>
      </c>
    </row>
  </sheetData>
  <hyperlinks>
    <hyperlink ref="H5" r:id="rId1" xr:uid="{00000000-0004-0000-0100-000000000000}"/>
    <hyperlink ref="H6" r:id="rId2" xr:uid="{00000000-0004-0000-0100-000001000000}"/>
    <hyperlink ref="H7" r:id="rId3" xr:uid="{00000000-0004-0000-0100-000002000000}"/>
    <hyperlink ref="H8" r:id="rId4" xr:uid="{00000000-0004-0000-0100-000003000000}"/>
    <hyperlink ref="H9" r:id="rId5" xr:uid="{00000000-0004-0000-0100-000004000000}"/>
    <hyperlink ref="H10" r:id="rId6" xr:uid="{00000000-0004-0000-0100-000005000000}"/>
    <hyperlink ref="H11" r:id="rId7" xr:uid="{00000000-0004-0000-0100-000006000000}"/>
    <hyperlink ref="H12" r:id="rId8" xr:uid="{00000000-0004-0000-0100-000007000000}"/>
    <hyperlink ref="H13" r:id="rId9" xr:uid="{00000000-0004-0000-0100-000008000000}"/>
    <hyperlink ref="H14" r:id="rId10" xr:uid="{00000000-0004-0000-0100-000009000000}"/>
    <hyperlink ref="H15" r:id="rId11" xr:uid="{00000000-0004-0000-0100-00000A000000}"/>
    <hyperlink ref="H16" r:id="rId12" xr:uid="{00000000-0004-0000-0100-00000B000000}"/>
    <hyperlink ref="H17" r:id="rId13" xr:uid="{00000000-0004-0000-0100-00000C000000}"/>
    <hyperlink ref="H18" r:id="rId14" xr:uid="{00000000-0004-0000-0100-00000D000000}"/>
    <hyperlink ref="H19" r:id="rId15" xr:uid="{00000000-0004-0000-0100-00000E000000}"/>
    <hyperlink ref="H20" r:id="rId16" xr:uid="{00000000-0004-0000-0100-00000F000000}"/>
    <hyperlink ref="H21" r:id="rId17" xr:uid="{00000000-0004-0000-0100-000010000000}"/>
    <hyperlink ref="H22" r:id="rId18" xr:uid="{00000000-0004-0000-0100-000011000000}"/>
    <hyperlink ref="H23" r:id="rId19" xr:uid="{00000000-0004-0000-0100-000012000000}"/>
    <hyperlink ref="H24" r:id="rId20" xr:uid="{00000000-0004-0000-0100-000013000000}"/>
    <hyperlink ref="H25" r:id="rId21" xr:uid="{00000000-0004-0000-0100-000014000000}"/>
    <hyperlink ref="H26" r:id="rId22" xr:uid="{00000000-0004-0000-0100-000015000000}"/>
    <hyperlink ref="H27" r:id="rId23" xr:uid="{00000000-0004-0000-0100-000016000000}"/>
    <hyperlink ref="H28" r:id="rId24" xr:uid="{00000000-0004-0000-0100-000017000000}"/>
    <hyperlink ref="H29" r:id="rId25" xr:uid="{00000000-0004-0000-0100-000018000000}"/>
    <hyperlink ref="H30" r:id="rId26" xr:uid="{00000000-0004-0000-0100-000019000000}"/>
    <hyperlink ref="H31" r:id="rId27" xr:uid="{00000000-0004-0000-0100-00001A000000}"/>
    <hyperlink ref="H32" r:id="rId28" xr:uid="{00000000-0004-0000-0100-00001B000000}"/>
    <hyperlink ref="H33" r:id="rId29" xr:uid="{00000000-0004-0000-0100-00001C000000}"/>
    <hyperlink ref="H34" r:id="rId30" xr:uid="{00000000-0004-0000-0100-00001D000000}"/>
    <hyperlink ref="H36" r:id="rId31" xr:uid="{00000000-0004-0000-0100-00001E000000}"/>
    <hyperlink ref="H37" r:id="rId32" xr:uid="{00000000-0004-0000-0100-00001F000000}"/>
    <hyperlink ref="H38" r:id="rId33" xr:uid="{00000000-0004-0000-0100-000020000000}"/>
    <hyperlink ref="H40" r:id="rId34" xr:uid="{00000000-0004-0000-0100-000021000000}"/>
    <hyperlink ref="H41" r:id="rId35" xr:uid="{00000000-0004-0000-0100-000022000000}"/>
    <hyperlink ref="H42" r:id="rId36" xr:uid="{00000000-0004-0000-0100-000023000000}"/>
    <hyperlink ref="H43" r:id="rId37" xr:uid="{00000000-0004-0000-0100-000024000000}"/>
    <hyperlink ref="H44" r:id="rId38" xr:uid="{00000000-0004-0000-0100-000025000000}"/>
    <hyperlink ref="H46" r:id="rId39" xr:uid="{00000000-0004-0000-0100-000026000000}"/>
    <hyperlink ref="H47" r:id="rId40" xr:uid="{00000000-0004-0000-0100-000027000000}"/>
    <hyperlink ref="H48" r:id="rId41" xr:uid="{00000000-0004-0000-0100-000028000000}"/>
    <hyperlink ref="H49" r:id="rId42" xr:uid="{00000000-0004-0000-0100-000029000000}"/>
    <hyperlink ref="H50" r:id="rId43" xr:uid="{00000000-0004-0000-0100-00002A000000}"/>
    <hyperlink ref="H51" r:id="rId44" xr:uid="{00000000-0004-0000-0100-00002B000000}"/>
    <hyperlink ref="H52" r:id="rId45" xr:uid="{00000000-0004-0000-0100-00002C000000}"/>
    <hyperlink ref="H53" r:id="rId46" xr:uid="{00000000-0004-0000-0100-00002D000000}"/>
    <hyperlink ref="H54" r:id="rId47" xr:uid="{00000000-0004-0000-0100-00002E000000}"/>
    <hyperlink ref="H55" r:id="rId48" xr:uid="{00000000-0004-0000-0100-00002F000000}"/>
    <hyperlink ref="H56" r:id="rId49" xr:uid="{00000000-0004-0000-0100-000030000000}"/>
    <hyperlink ref="H58" r:id="rId50" xr:uid="{00000000-0004-0000-0100-000031000000}"/>
    <hyperlink ref="H59" r:id="rId51" xr:uid="{00000000-0004-0000-0100-000032000000}"/>
    <hyperlink ref="H60" r:id="rId52" xr:uid="{00000000-0004-0000-0100-000033000000}"/>
    <hyperlink ref="H61" r:id="rId53" xr:uid="{00000000-0004-0000-0100-000034000000}"/>
    <hyperlink ref="H62" r:id="rId54" xr:uid="{00000000-0004-0000-0100-000035000000}"/>
    <hyperlink ref="H63" r:id="rId55" xr:uid="{00000000-0004-0000-0100-000036000000}"/>
    <hyperlink ref="H64" r:id="rId56" xr:uid="{00000000-0004-0000-0100-000037000000}"/>
    <hyperlink ref="H65" r:id="rId57" xr:uid="{00000000-0004-0000-0100-000038000000}"/>
    <hyperlink ref="H66" r:id="rId58" xr:uid="{00000000-0004-0000-0100-000039000000}"/>
    <hyperlink ref="H67" r:id="rId59" xr:uid="{00000000-0004-0000-0100-00003A000000}"/>
    <hyperlink ref="H68" r:id="rId60" xr:uid="{00000000-0004-0000-0100-00003B000000}"/>
    <hyperlink ref="H69" r:id="rId61" xr:uid="{00000000-0004-0000-0100-00003C000000}"/>
    <hyperlink ref="H70" r:id="rId62" xr:uid="{00000000-0004-0000-0100-00003D000000}"/>
    <hyperlink ref="H71" r:id="rId63" xr:uid="{00000000-0004-0000-0100-00003E000000}"/>
    <hyperlink ref="H72" r:id="rId64" xr:uid="{00000000-0004-0000-0100-00003F000000}"/>
    <hyperlink ref="H73" r:id="rId65" xr:uid="{00000000-0004-0000-0100-000040000000}"/>
    <hyperlink ref="H74" r:id="rId66" xr:uid="{00000000-0004-0000-0100-000041000000}"/>
    <hyperlink ref="H76" r:id="rId67" xr:uid="{00000000-0004-0000-0100-000042000000}"/>
    <hyperlink ref="H77" r:id="rId68" xr:uid="{00000000-0004-0000-0100-000043000000}"/>
    <hyperlink ref="H78" r:id="rId69" xr:uid="{00000000-0004-0000-0100-000044000000}"/>
    <hyperlink ref="H79" r:id="rId70" xr:uid="{00000000-0004-0000-0100-000045000000}"/>
    <hyperlink ref="H80" r:id="rId71" xr:uid="{00000000-0004-0000-0100-000046000000}"/>
    <hyperlink ref="H81" r:id="rId72" xr:uid="{00000000-0004-0000-0100-000047000000}"/>
    <hyperlink ref="H82" r:id="rId73" xr:uid="{00000000-0004-0000-0100-000048000000}"/>
    <hyperlink ref="H83" r:id="rId74" xr:uid="{00000000-0004-0000-0100-000049000000}"/>
    <hyperlink ref="H84" r:id="rId75" xr:uid="{00000000-0004-0000-0100-00004A000000}"/>
    <hyperlink ref="H85" r:id="rId76" xr:uid="{00000000-0004-0000-0100-00004B000000}"/>
    <hyperlink ref="H86" r:id="rId77" xr:uid="{00000000-0004-0000-0100-00004C000000}"/>
    <hyperlink ref="H87" r:id="rId78" xr:uid="{00000000-0004-0000-0100-00004D000000}"/>
    <hyperlink ref="H88" r:id="rId79" xr:uid="{00000000-0004-0000-0100-00004E000000}"/>
    <hyperlink ref="H89" r:id="rId80" xr:uid="{00000000-0004-0000-0100-00004F000000}"/>
    <hyperlink ref="H90" r:id="rId81" xr:uid="{00000000-0004-0000-0100-000050000000}"/>
    <hyperlink ref="H91" r:id="rId82" xr:uid="{00000000-0004-0000-0100-000051000000}"/>
    <hyperlink ref="H92" r:id="rId83" xr:uid="{00000000-0004-0000-0100-000052000000}"/>
    <hyperlink ref="H93" r:id="rId84" xr:uid="{00000000-0004-0000-0100-000053000000}"/>
    <hyperlink ref="H94" r:id="rId85" xr:uid="{00000000-0004-0000-0100-000054000000}"/>
    <hyperlink ref="H95" r:id="rId86" xr:uid="{00000000-0004-0000-0100-000055000000}"/>
    <hyperlink ref="H96" r:id="rId87" xr:uid="{00000000-0004-0000-0100-000056000000}"/>
    <hyperlink ref="H97" r:id="rId88" xr:uid="{00000000-0004-0000-0100-000057000000}"/>
    <hyperlink ref="H98" r:id="rId89" xr:uid="{00000000-0004-0000-0100-000058000000}"/>
    <hyperlink ref="H99" r:id="rId90" xr:uid="{00000000-0004-0000-0100-000059000000}"/>
    <hyperlink ref="H100" r:id="rId91" xr:uid="{00000000-0004-0000-0100-00005A000000}"/>
    <hyperlink ref="H101" r:id="rId92" xr:uid="{00000000-0004-0000-0100-00005B000000}"/>
    <hyperlink ref="H102" r:id="rId93" xr:uid="{00000000-0004-0000-0100-00005C000000}"/>
    <hyperlink ref="H103" r:id="rId94" xr:uid="{00000000-0004-0000-0100-00005D000000}"/>
    <hyperlink ref="H104" r:id="rId95" xr:uid="{00000000-0004-0000-0100-00005E000000}"/>
    <hyperlink ref="H106" r:id="rId96" xr:uid="{00000000-0004-0000-0100-00005F000000}"/>
    <hyperlink ref="H107" r:id="rId97" xr:uid="{00000000-0004-0000-0100-000060000000}"/>
    <hyperlink ref="H108" r:id="rId98" xr:uid="{00000000-0004-0000-0100-000061000000}"/>
    <hyperlink ref="H109" r:id="rId99" xr:uid="{00000000-0004-0000-0100-000062000000}"/>
    <hyperlink ref="H110" r:id="rId100" xr:uid="{00000000-0004-0000-0100-000063000000}"/>
    <hyperlink ref="H111" r:id="rId101" xr:uid="{00000000-0004-0000-0100-000064000000}"/>
    <hyperlink ref="H112" r:id="rId102" xr:uid="{00000000-0004-0000-0100-000065000000}"/>
    <hyperlink ref="H113" r:id="rId103" xr:uid="{00000000-0004-0000-0100-000066000000}"/>
    <hyperlink ref="H114" r:id="rId104" xr:uid="{00000000-0004-0000-0100-000067000000}"/>
    <hyperlink ref="H115" r:id="rId105" xr:uid="{00000000-0004-0000-0100-000068000000}"/>
    <hyperlink ref="H116" r:id="rId106" xr:uid="{00000000-0004-0000-0100-000069000000}"/>
    <hyperlink ref="H117" r:id="rId107" xr:uid="{00000000-0004-0000-0100-00006A000000}"/>
    <hyperlink ref="H118" r:id="rId108" xr:uid="{00000000-0004-0000-0100-00006B000000}"/>
    <hyperlink ref="H119" r:id="rId109" xr:uid="{00000000-0004-0000-0100-00006C000000}"/>
    <hyperlink ref="H120" r:id="rId110" xr:uid="{00000000-0004-0000-0100-00006D000000}"/>
    <hyperlink ref="H121" r:id="rId111" xr:uid="{00000000-0004-0000-0100-00006E000000}"/>
    <hyperlink ref="H122" r:id="rId112" xr:uid="{00000000-0004-0000-0100-00006F000000}"/>
    <hyperlink ref="H123" r:id="rId113" xr:uid="{00000000-0004-0000-0100-000070000000}"/>
    <hyperlink ref="H124" r:id="rId114" xr:uid="{00000000-0004-0000-0100-000071000000}"/>
    <hyperlink ref="H125" r:id="rId115" xr:uid="{00000000-0004-0000-0100-000072000000}"/>
    <hyperlink ref="H127" r:id="rId116" xr:uid="{00000000-0004-0000-0100-000073000000}"/>
    <hyperlink ref="H128" r:id="rId117" xr:uid="{00000000-0004-0000-0100-000074000000}"/>
    <hyperlink ref="H129" r:id="rId118" xr:uid="{00000000-0004-0000-0100-000075000000}"/>
    <hyperlink ref="H130" r:id="rId119" xr:uid="{00000000-0004-0000-0100-000076000000}"/>
    <hyperlink ref="H131" r:id="rId120" xr:uid="{00000000-0004-0000-0100-000077000000}"/>
    <hyperlink ref="H132" r:id="rId121" xr:uid="{00000000-0004-0000-0100-000078000000}"/>
    <hyperlink ref="H133" r:id="rId122" xr:uid="{00000000-0004-0000-0100-000079000000}"/>
    <hyperlink ref="H134" r:id="rId123" xr:uid="{00000000-0004-0000-0100-00007A000000}"/>
    <hyperlink ref="H135" r:id="rId124" xr:uid="{00000000-0004-0000-0100-00007B000000}"/>
    <hyperlink ref="H136" r:id="rId125" xr:uid="{00000000-0004-0000-0100-00007C000000}"/>
    <hyperlink ref="H138" r:id="rId126" xr:uid="{00000000-0004-0000-0100-00007D000000}"/>
    <hyperlink ref="H139" r:id="rId127" xr:uid="{00000000-0004-0000-0100-00007E000000}"/>
    <hyperlink ref="H140" r:id="rId128" xr:uid="{00000000-0004-0000-0100-00007F000000}"/>
    <hyperlink ref="H141" r:id="rId129" xr:uid="{00000000-0004-0000-0100-000080000000}"/>
    <hyperlink ref="H142" r:id="rId130" xr:uid="{00000000-0004-0000-0100-000081000000}"/>
    <hyperlink ref="H143" r:id="rId131" xr:uid="{00000000-0004-0000-0100-000082000000}"/>
    <hyperlink ref="H144" r:id="rId132" xr:uid="{00000000-0004-0000-0100-000083000000}"/>
    <hyperlink ref="H145" r:id="rId133" xr:uid="{00000000-0004-0000-0100-000084000000}"/>
    <hyperlink ref="H146" r:id="rId134" xr:uid="{00000000-0004-0000-0100-000085000000}"/>
    <hyperlink ref="H147" r:id="rId135" xr:uid="{00000000-0004-0000-0100-000086000000}"/>
    <hyperlink ref="H148" r:id="rId136" xr:uid="{00000000-0004-0000-0100-000087000000}"/>
    <hyperlink ref="H152" r:id="rId137" xr:uid="{00000000-0004-0000-0100-000088000000}"/>
    <hyperlink ref="H153" r:id="rId138" xr:uid="{00000000-0004-0000-0100-000089000000}"/>
    <hyperlink ref="H154" r:id="rId139" xr:uid="{00000000-0004-0000-0100-00008A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154"/>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customHeight="1" x14ac:dyDescent="0.2"/>
  <cols>
    <col min="1" max="1" width="5" customWidth="1"/>
    <col min="2" max="2" width="32" customWidth="1"/>
    <col min="3" max="3" width="14" customWidth="1"/>
    <col min="4" max="14" width="11" customWidth="1"/>
  </cols>
  <sheetData>
    <row r="2" spans="1:14" ht="21" x14ac:dyDescent="0.25">
      <c r="B2" s="1" t="s">
        <v>1085</v>
      </c>
    </row>
    <row r="4" spans="1:14" ht="27.75" customHeight="1" x14ac:dyDescent="0.2">
      <c r="A4" s="5" t="s">
        <v>8</v>
      </c>
      <c r="B4" s="5" t="s">
        <v>9</v>
      </c>
      <c r="C4" s="5" t="s">
        <v>10</v>
      </c>
      <c r="D4" s="5" t="s">
        <v>1086</v>
      </c>
      <c r="E4" s="5" t="s">
        <v>1087</v>
      </c>
      <c r="F4" s="5" t="s">
        <v>1088</v>
      </c>
      <c r="G4" s="5" t="s">
        <v>1089</v>
      </c>
      <c r="H4" s="5" t="s">
        <v>1090</v>
      </c>
      <c r="I4" s="5" t="s">
        <v>1091</v>
      </c>
      <c r="J4" s="5" t="s">
        <v>1092</v>
      </c>
      <c r="K4" s="5" t="s">
        <v>1093</v>
      </c>
      <c r="L4" s="5" t="s">
        <v>1094</v>
      </c>
      <c r="M4" s="5" t="s">
        <v>1095</v>
      </c>
      <c r="N4" s="5" t="s">
        <v>1096</v>
      </c>
    </row>
    <row r="5" spans="1:14" ht="30" x14ac:dyDescent="0.2">
      <c r="A5" s="6">
        <v>1</v>
      </c>
      <c r="B5" s="7" t="s">
        <v>25</v>
      </c>
      <c r="C5" s="6" t="s">
        <v>26</v>
      </c>
      <c r="D5" s="8">
        <v>102.2</v>
      </c>
      <c r="E5" s="8">
        <v>122.2</v>
      </c>
      <c r="F5" s="8">
        <v>135.19999999999999</v>
      </c>
      <c r="G5" s="8">
        <v>157.6</v>
      </c>
      <c r="H5" s="8">
        <v>160.4</v>
      </c>
      <c r="I5" s="8">
        <v>177.5</v>
      </c>
      <c r="J5" s="8">
        <v>192.9</v>
      </c>
      <c r="K5" s="8">
        <v>217.9</v>
      </c>
      <c r="L5" s="8">
        <v>224.1</v>
      </c>
      <c r="M5" s="8">
        <v>234.7</v>
      </c>
      <c r="N5" s="10">
        <f t="shared" ref="N5:N36" si="0">IF(D5=0,"N/A",(M5/D5)-1)</f>
        <v>1.2964774951076321</v>
      </c>
    </row>
    <row r="6" spans="1:14" ht="30" x14ac:dyDescent="0.2">
      <c r="A6" s="6">
        <v>2</v>
      </c>
      <c r="B6" s="7" t="s">
        <v>30</v>
      </c>
      <c r="C6" s="6" t="s">
        <v>31</v>
      </c>
      <c r="D6" s="8">
        <v>13.2</v>
      </c>
      <c r="E6" s="8">
        <v>17.899999999999999</v>
      </c>
      <c r="F6" s="8">
        <v>18.2</v>
      </c>
      <c r="G6" s="8">
        <v>25.2</v>
      </c>
      <c r="H6" s="8">
        <v>40.700000000000003</v>
      </c>
      <c r="I6" s="8">
        <v>42</v>
      </c>
      <c r="J6" s="8">
        <v>65.099999999999994</v>
      </c>
      <c r="K6" s="8">
        <v>99.8</v>
      </c>
      <c r="L6" s="8">
        <v>104.8</v>
      </c>
      <c r="M6" s="8">
        <v>104.9</v>
      </c>
      <c r="N6" s="10">
        <f t="shared" si="0"/>
        <v>6.9469696969696981</v>
      </c>
    </row>
    <row r="7" spans="1:14" x14ac:dyDescent="0.2">
      <c r="A7" s="6">
        <v>3</v>
      </c>
      <c r="B7" s="7" t="s">
        <v>34</v>
      </c>
      <c r="C7" s="6" t="s">
        <v>35</v>
      </c>
      <c r="D7" s="8">
        <v>494.3</v>
      </c>
      <c r="E7" s="8">
        <v>557.1</v>
      </c>
      <c r="F7" s="8">
        <v>623.29999999999995</v>
      </c>
      <c r="G7" s="8">
        <v>650.5</v>
      </c>
      <c r="H7" s="8">
        <v>666.7</v>
      </c>
      <c r="I7" s="8">
        <v>773.4</v>
      </c>
      <c r="J7" s="8">
        <v>827.8</v>
      </c>
      <c r="K7" s="8">
        <v>874.6</v>
      </c>
      <c r="L7" s="8">
        <v>935.3</v>
      </c>
      <c r="M7" s="8">
        <v>989.9</v>
      </c>
      <c r="N7" s="10">
        <f t="shared" si="0"/>
        <v>1.0026299817924338</v>
      </c>
    </row>
    <row r="8" spans="1:14" x14ac:dyDescent="0.2">
      <c r="A8" s="6">
        <v>4</v>
      </c>
      <c r="B8" s="7" t="s">
        <v>37</v>
      </c>
      <c r="C8" s="6" t="s">
        <v>38</v>
      </c>
      <c r="D8" s="8">
        <v>324.8</v>
      </c>
      <c r="E8" s="8">
        <v>370.1</v>
      </c>
      <c r="F8" s="8">
        <v>417.6</v>
      </c>
      <c r="G8" s="8">
        <v>451.4</v>
      </c>
      <c r="H8" s="8">
        <v>508.4</v>
      </c>
      <c r="I8" s="8">
        <v>565.9</v>
      </c>
      <c r="J8" s="8">
        <v>590.9</v>
      </c>
      <c r="K8" s="8">
        <v>624</v>
      </c>
      <c r="L8" s="8">
        <v>687.4</v>
      </c>
      <c r="M8" s="8">
        <v>751.6</v>
      </c>
      <c r="N8" s="10">
        <f t="shared" si="0"/>
        <v>1.3140394088669951</v>
      </c>
    </row>
    <row r="9" spans="1:14" x14ac:dyDescent="0.2">
      <c r="A9" s="6">
        <v>5</v>
      </c>
      <c r="B9" s="7" t="s">
        <v>40</v>
      </c>
      <c r="C9" s="6" t="s">
        <v>41</v>
      </c>
      <c r="D9" s="8">
        <v>35.5</v>
      </c>
      <c r="E9" s="8">
        <v>38.9</v>
      </c>
      <c r="F9" s="8">
        <v>42.7</v>
      </c>
      <c r="G9" s="8">
        <v>45.5</v>
      </c>
      <c r="H9" s="8">
        <v>47.6</v>
      </c>
      <c r="I9" s="8">
        <v>54.9</v>
      </c>
      <c r="J9" s="8">
        <v>67</v>
      </c>
      <c r="K9" s="8">
        <v>81.5</v>
      </c>
      <c r="L9" s="8">
        <v>78.2</v>
      </c>
      <c r="M9" s="8">
        <v>80.900000000000006</v>
      </c>
      <c r="N9" s="10">
        <f t="shared" si="0"/>
        <v>1.2788732394366198</v>
      </c>
    </row>
    <row r="10" spans="1:14" ht="30" x14ac:dyDescent="0.2">
      <c r="A10" s="6">
        <v>6</v>
      </c>
      <c r="B10" s="7" t="s">
        <v>43</v>
      </c>
      <c r="C10" s="6" t="s">
        <v>44</v>
      </c>
      <c r="D10" s="8">
        <v>69.8</v>
      </c>
      <c r="E10" s="8">
        <v>68.3</v>
      </c>
      <c r="F10" s="8">
        <v>77.900000000000006</v>
      </c>
      <c r="G10" s="8">
        <v>87.1</v>
      </c>
      <c r="H10" s="8">
        <v>84.8</v>
      </c>
      <c r="I10" s="8">
        <v>118.6</v>
      </c>
      <c r="J10" s="8">
        <v>131.69999999999999</v>
      </c>
      <c r="K10" s="8">
        <v>135.69999999999999</v>
      </c>
      <c r="L10" s="8">
        <v>144.6</v>
      </c>
      <c r="M10" s="8">
        <v>160</v>
      </c>
      <c r="N10" s="10">
        <f t="shared" si="0"/>
        <v>1.2922636103151866</v>
      </c>
    </row>
    <row r="11" spans="1:14" ht="30" x14ac:dyDescent="0.2">
      <c r="A11" s="6">
        <v>7</v>
      </c>
      <c r="B11" s="7" t="s">
        <v>47</v>
      </c>
      <c r="C11" s="6" t="s">
        <v>48</v>
      </c>
      <c r="D11" s="8">
        <v>121</v>
      </c>
      <c r="E11" s="8">
        <v>124.4</v>
      </c>
      <c r="F11" s="8">
        <v>138</v>
      </c>
      <c r="G11" s="8">
        <v>149.69999999999999</v>
      </c>
      <c r="H11" s="8">
        <v>153.4</v>
      </c>
      <c r="I11" s="8">
        <v>184.6</v>
      </c>
      <c r="J11" s="8">
        <v>183.8</v>
      </c>
      <c r="K11" s="8">
        <v>218</v>
      </c>
      <c r="L11" s="8">
        <v>223.4</v>
      </c>
      <c r="M11" s="8">
        <v>238.5</v>
      </c>
      <c r="N11" s="10">
        <f t="shared" si="0"/>
        <v>0.97107438016528924</v>
      </c>
    </row>
    <row r="12" spans="1:14" x14ac:dyDescent="0.2">
      <c r="A12" s="6">
        <v>8</v>
      </c>
      <c r="B12" s="7" t="s">
        <v>50</v>
      </c>
      <c r="C12" s="6" t="s">
        <v>51</v>
      </c>
      <c r="D12" s="8">
        <v>142.19999999999999</v>
      </c>
      <c r="E12" s="8">
        <v>214.2</v>
      </c>
      <c r="F12" s="8">
        <v>309.89999999999998</v>
      </c>
      <c r="G12" s="8">
        <v>414.5</v>
      </c>
      <c r="H12" s="8">
        <v>393.4</v>
      </c>
      <c r="I12" s="8">
        <v>431.1</v>
      </c>
      <c r="J12" s="8">
        <v>529.29999999999995</v>
      </c>
      <c r="K12" s="8">
        <v>861.5</v>
      </c>
      <c r="L12" s="8">
        <v>827.7</v>
      </c>
      <c r="M12" s="8">
        <v>851.9</v>
      </c>
      <c r="N12" s="10">
        <f t="shared" si="0"/>
        <v>4.9908579465541498</v>
      </c>
    </row>
    <row r="13" spans="1:14" x14ac:dyDescent="0.2">
      <c r="A13" s="6">
        <v>9</v>
      </c>
      <c r="B13" s="7" t="s">
        <v>54</v>
      </c>
      <c r="C13" s="6" t="s">
        <v>55</v>
      </c>
      <c r="D13" s="8">
        <v>274.5</v>
      </c>
      <c r="E13" s="8">
        <v>301.60000000000002</v>
      </c>
      <c r="F13" s="8">
        <v>501</v>
      </c>
      <c r="G13" s="8">
        <v>713.7</v>
      </c>
      <c r="H13" s="8">
        <v>934.8</v>
      </c>
      <c r="I13" s="8">
        <v>1526.1</v>
      </c>
      <c r="J13" s="8">
        <v>1598.6</v>
      </c>
      <c r="K13" s="8">
        <v>1072.0999999999999</v>
      </c>
      <c r="L13" s="8">
        <v>602.5</v>
      </c>
      <c r="M13" s="8">
        <v>385.8</v>
      </c>
      <c r="N13" s="10">
        <f t="shared" si="0"/>
        <v>0.40546448087431708</v>
      </c>
    </row>
    <row r="14" spans="1:14" ht="30" x14ac:dyDescent="0.2">
      <c r="A14" s="6">
        <v>10</v>
      </c>
      <c r="B14" s="7" t="s">
        <v>57</v>
      </c>
      <c r="C14" s="6" t="s">
        <v>58</v>
      </c>
      <c r="D14" s="8">
        <v>32.299999999999997</v>
      </c>
      <c r="E14" s="8">
        <v>37.6</v>
      </c>
      <c r="F14" s="8">
        <v>44.4</v>
      </c>
      <c r="G14" s="8">
        <v>48.3</v>
      </c>
      <c r="H14" s="8">
        <v>52.2</v>
      </c>
      <c r="I14" s="8">
        <v>64.2</v>
      </c>
      <c r="J14" s="8">
        <v>72.099999999999994</v>
      </c>
      <c r="K14" s="8">
        <v>68.400000000000006</v>
      </c>
      <c r="L14" s="8">
        <v>65.8</v>
      </c>
      <c r="M14" s="8">
        <v>82</v>
      </c>
      <c r="N14" s="10">
        <f t="shared" si="0"/>
        <v>1.5386996904024768</v>
      </c>
    </row>
    <row r="15" spans="1:14" x14ac:dyDescent="0.2">
      <c r="A15" s="6">
        <v>11</v>
      </c>
      <c r="B15" s="7" t="s">
        <v>60</v>
      </c>
      <c r="C15" s="6" t="s">
        <v>61</v>
      </c>
      <c r="D15" s="8">
        <v>124.6</v>
      </c>
      <c r="E15" s="8">
        <v>130.6</v>
      </c>
      <c r="F15" s="8">
        <v>137.30000000000001</v>
      </c>
      <c r="G15" s="8">
        <v>142.5</v>
      </c>
      <c r="H15" s="8">
        <v>164</v>
      </c>
      <c r="I15" s="8">
        <v>182.1</v>
      </c>
      <c r="J15" s="8">
        <v>194</v>
      </c>
      <c r="K15" s="8">
        <v>191.5</v>
      </c>
      <c r="L15" s="8">
        <v>194.5</v>
      </c>
      <c r="M15" s="8">
        <v>196.5</v>
      </c>
      <c r="N15" s="10">
        <f t="shared" si="0"/>
        <v>0.57704654895666141</v>
      </c>
    </row>
    <row r="16" spans="1:14" x14ac:dyDescent="0.2">
      <c r="A16" s="6">
        <v>12</v>
      </c>
      <c r="B16" s="7" t="s">
        <v>63</v>
      </c>
      <c r="C16" s="6" t="s">
        <v>64</v>
      </c>
      <c r="D16" s="8">
        <v>83.9</v>
      </c>
      <c r="E16" s="8">
        <v>98.6</v>
      </c>
      <c r="F16" s="8">
        <v>109.6</v>
      </c>
      <c r="G16" s="8">
        <v>118.3</v>
      </c>
      <c r="H16" s="8">
        <v>122.4</v>
      </c>
      <c r="I16" s="8">
        <v>140.80000000000001</v>
      </c>
      <c r="J16" s="8">
        <v>129.69999999999999</v>
      </c>
      <c r="K16" s="8">
        <v>139.1</v>
      </c>
      <c r="L16" s="8">
        <v>146.80000000000001</v>
      </c>
      <c r="M16" s="8">
        <v>149.19999999999999</v>
      </c>
      <c r="N16" s="10">
        <f t="shared" si="0"/>
        <v>0.77830750893921308</v>
      </c>
    </row>
    <row r="17" spans="1:14" x14ac:dyDescent="0.2">
      <c r="A17" s="6">
        <v>13</v>
      </c>
      <c r="B17" s="7" t="s">
        <v>66</v>
      </c>
      <c r="C17" s="6" t="s">
        <v>67</v>
      </c>
      <c r="D17" s="8">
        <v>135.80000000000001</v>
      </c>
      <c r="E17" s="8">
        <v>138.5</v>
      </c>
      <c r="F17" s="8">
        <v>149</v>
      </c>
      <c r="G17" s="8">
        <v>165.4</v>
      </c>
      <c r="H17" s="8">
        <v>178.3</v>
      </c>
      <c r="I17" s="8">
        <v>183</v>
      </c>
      <c r="J17" s="8">
        <v>217.8</v>
      </c>
      <c r="K17" s="8">
        <v>202.7</v>
      </c>
      <c r="L17" s="8">
        <v>201.6</v>
      </c>
      <c r="M17" s="8">
        <v>253.6</v>
      </c>
      <c r="N17" s="10">
        <f t="shared" si="0"/>
        <v>0.86745213549337241</v>
      </c>
    </row>
    <row r="18" spans="1:14" x14ac:dyDescent="0.2">
      <c r="A18" s="6">
        <v>14</v>
      </c>
      <c r="B18" s="7" t="s">
        <v>69</v>
      </c>
      <c r="C18" s="6" t="s">
        <v>70</v>
      </c>
      <c r="D18" s="8">
        <v>30.7</v>
      </c>
      <c r="E18" s="8">
        <v>33.1</v>
      </c>
      <c r="F18" s="8">
        <v>36.700000000000003</v>
      </c>
      <c r="G18" s="8">
        <v>37.799999999999997</v>
      </c>
      <c r="H18" s="8">
        <v>38.200000000000003</v>
      </c>
      <c r="I18" s="8">
        <v>38.700000000000003</v>
      </c>
      <c r="J18" s="8">
        <v>53.3</v>
      </c>
      <c r="K18" s="8">
        <v>75.900000000000006</v>
      </c>
      <c r="L18" s="8">
        <v>71.5</v>
      </c>
      <c r="M18" s="8">
        <v>72.099999999999994</v>
      </c>
      <c r="N18" s="10">
        <f t="shared" si="0"/>
        <v>1.3485342019543971</v>
      </c>
    </row>
    <row r="19" spans="1:14" ht="30" x14ac:dyDescent="0.2">
      <c r="A19" s="6">
        <v>15</v>
      </c>
      <c r="B19" s="7" t="s">
        <v>72</v>
      </c>
      <c r="C19" s="6" t="s">
        <v>73</v>
      </c>
      <c r="D19" s="8">
        <v>819.8</v>
      </c>
      <c r="E19" s="8">
        <v>839.1</v>
      </c>
      <c r="F19" s="8">
        <v>836.5</v>
      </c>
      <c r="G19" s="8">
        <v>877.8</v>
      </c>
      <c r="H19" s="8">
        <v>846.2</v>
      </c>
      <c r="I19" s="8">
        <v>884.9</v>
      </c>
      <c r="J19" s="8">
        <v>797.6</v>
      </c>
      <c r="K19" s="8">
        <v>931</v>
      </c>
      <c r="L19" s="8">
        <v>1120</v>
      </c>
      <c r="M19" s="8">
        <v>1263.7</v>
      </c>
      <c r="N19" s="10">
        <f t="shared" si="0"/>
        <v>0.54147353012929988</v>
      </c>
    </row>
    <row r="20" spans="1:14" ht="30" x14ac:dyDescent="0.2">
      <c r="A20" s="6">
        <v>16</v>
      </c>
      <c r="B20" s="7" t="s">
        <v>76</v>
      </c>
      <c r="C20" s="6" t="s">
        <v>77</v>
      </c>
      <c r="D20" s="8">
        <v>54</v>
      </c>
      <c r="E20" s="8">
        <v>55.4</v>
      </c>
      <c r="F20" s="8">
        <v>58.6</v>
      </c>
      <c r="G20" s="8">
        <v>62.7</v>
      </c>
      <c r="H20" s="8">
        <v>62.8</v>
      </c>
      <c r="I20" s="8">
        <v>70.099999999999994</v>
      </c>
      <c r="J20" s="8">
        <v>76.3</v>
      </c>
      <c r="K20" s="8">
        <v>76.099999999999994</v>
      </c>
      <c r="L20" s="8">
        <v>82.1</v>
      </c>
      <c r="M20" s="8">
        <v>89.1</v>
      </c>
      <c r="N20" s="10">
        <f t="shared" si="0"/>
        <v>0.64999999999999991</v>
      </c>
    </row>
    <row r="21" spans="1:14" x14ac:dyDescent="0.2">
      <c r="A21" s="6">
        <v>17</v>
      </c>
      <c r="B21" s="7" t="s">
        <v>79</v>
      </c>
      <c r="C21" s="6" t="s">
        <v>80</v>
      </c>
      <c r="D21" s="8">
        <v>44.9</v>
      </c>
      <c r="E21" s="8">
        <v>41.9</v>
      </c>
      <c r="F21" s="8">
        <v>56.9</v>
      </c>
      <c r="G21" s="8">
        <v>61.1</v>
      </c>
      <c r="H21" s="8">
        <v>19.5</v>
      </c>
      <c r="I21" s="8">
        <v>71.3</v>
      </c>
      <c r="J21" s="8">
        <v>62.9</v>
      </c>
      <c r="K21" s="8">
        <v>80.2</v>
      </c>
      <c r="L21" s="8">
        <v>78.7</v>
      </c>
      <c r="M21" s="8">
        <v>87.7</v>
      </c>
      <c r="N21" s="10">
        <f t="shared" si="0"/>
        <v>0.95322939866369727</v>
      </c>
    </row>
    <row r="22" spans="1:14" x14ac:dyDescent="0.2">
      <c r="A22" s="6">
        <v>18</v>
      </c>
      <c r="B22" s="7" t="s">
        <v>82</v>
      </c>
      <c r="C22" s="6" t="s">
        <v>83</v>
      </c>
      <c r="D22" s="8">
        <v>88</v>
      </c>
      <c r="E22" s="8">
        <v>90.8</v>
      </c>
      <c r="F22" s="8">
        <v>96.9</v>
      </c>
      <c r="G22" s="8">
        <v>103.4</v>
      </c>
      <c r="H22" s="8">
        <v>127.4</v>
      </c>
      <c r="I22" s="8">
        <v>134.69999999999999</v>
      </c>
      <c r="J22" s="8">
        <v>119.7</v>
      </c>
      <c r="K22" s="8">
        <v>119</v>
      </c>
      <c r="L22" s="8">
        <v>114.1</v>
      </c>
      <c r="M22" s="8">
        <v>129.30000000000001</v>
      </c>
      <c r="N22" s="10">
        <f t="shared" si="0"/>
        <v>0.46931818181818197</v>
      </c>
    </row>
    <row r="23" spans="1:14" x14ac:dyDescent="0.2">
      <c r="A23" s="6">
        <v>19</v>
      </c>
      <c r="B23" s="7" t="s">
        <v>85</v>
      </c>
      <c r="C23" s="6" t="s">
        <v>86</v>
      </c>
      <c r="D23" s="8">
        <v>293.8</v>
      </c>
      <c r="E23" s="8">
        <v>412.6</v>
      </c>
      <c r="F23" s="8">
        <v>585.6</v>
      </c>
      <c r="G23" s="8">
        <v>744</v>
      </c>
      <c r="H23" s="8">
        <v>649.5</v>
      </c>
      <c r="I23" s="8">
        <v>856.7</v>
      </c>
      <c r="J23" s="8">
        <v>847.4</v>
      </c>
      <c r="K23" s="8">
        <v>960.9</v>
      </c>
      <c r="L23" s="8">
        <v>917.1</v>
      </c>
      <c r="M23" s="8">
        <v>1067.7</v>
      </c>
      <c r="N23" s="10">
        <f t="shared" si="0"/>
        <v>2.6341048332198773</v>
      </c>
    </row>
    <row r="24" spans="1:14" ht="30" x14ac:dyDescent="0.2">
      <c r="A24" s="6">
        <v>20</v>
      </c>
      <c r="B24" s="7" t="s">
        <v>88</v>
      </c>
      <c r="C24" s="6" t="s">
        <v>89</v>
      </c>
      <c r="D24" s="8">
        <v>128.30000000000001</v>
      </c>
      <c r="E24" s="8">
        <v>132.5</v>
      </c>
      <c r="F24" s="8">
        <v>141.1</v>
      </c>
      <c r="G24" s="8">
        <v>154.4</v>
      </c>
      <c r="H24" s="8">
        <v>202.8</v>
      </c>
      <c r="I24" s="8">
        <v>212</v>
      </c>
      <c r="J24" s="8">
        <v>192.7</v>
      </c>
      <c r="K24" s="8">
        <v>220.9</v>
      </c>
      <c r="L24" s="8">
        <v>230.9</v>
      </c>
      <c r="M24" s="8">
        <v>248.7</v>
      </c>
      <c r="N24" s="10">
        <f t="shared" si="0"/>
        <v>0.93842556508183916</v>
      </c>
    </row>
    <row r="25" spans="1:14" x14ac:dyDescent="0.2">
      <c r="A25" s="6">
        <v>21</v>
      </c>
      <c r="B25" s="7" t="s">
        <v>91</v>
      </c>
      <c r="C25" s="6" t="s">
        <v>92</v>
      </c>
      <c r="D25" s="8">
        <v>44.8</v>
      </c>
      <c r="E25" s="8">
        <v>49.4</v>
      </c>
      <c r="F25" s="8">
        <v>50.3</v>
      </c>
      <c r="G25" s="8">
        <v>49.4</v>
      </c>
      <c r="H25" s="8">
        <v>50.3</v>
      </c>
      <c r="I25" s="8">
        <v>55.7</v>
      </c>
      <c r="J25" s="8">
        <v>57.2</v>
      </c>
      <c r="K25" s="8">
        <v>45</v>
      </c>
      <c r="L25" s="8">
        <v>53.1</v>
      </c>
      <c r="M25" s="8">
        <v>55.1</v>
      </c>
      <c r="N25" s="10">
        <f t="shared" si="0"/>
        <v>0.22991071428571441</v>
      </c>
    </row>
    <row r="26" spans="1:14" ht="30" x14ac:dyDescent="0.2">
      <c r="A26" s="6">
        <v>22</v>
      </c>
      <c r="B26" s="7" t="s">
        <v>94</v>
      </c>
      <c r="C26" s="6" t="s">
        <v>95</v>
      </c>
      <c r="D26" s="8">
        <v>255.2</v>
      </c>
      <c r="E26" s="8">
        <v>240.2</v>
      </c>
      <c r="F26" s="8">
        <v>294.7</v>
      </c>
      <c r="G26" s="8">
        <v>322.39999999999998</v>
      </c>
      <c r="H26" s="8">
        <v>349.8</v>
      </c>
      <c r="I26" s="8">
        <v>437.8</v>
      </c>
      <c r="J26" s="8">
        <v>499</v>
      </c>
      <c r="K26" s="8">
        <v>644.4</v>
      </c>
      <c r="L26" s="8">
        <v>732</v>
      </c>
      <c r="M26" s="8">
        <v>719.9</v>
      </c>
      <c r="N26" s="10">
        <f t="shared" si="0"/>
        <v>1.820924764890282</v>
      </c>
    </row>
    <row r="27" spans="1:14" x14ac:dyDescent="0.2">
      <c r="A27" s="6">
        <v>23</v>
      </c>
      <c r="B27" s="7" t="s">
        <v>97</v>
      </c>
      <c r="C27" s="6" t="s">
        <v>98</v>
      </c>
      <c r="D27" s="8">
        <v>34.200000000000003</v>
      </c>
      <c r="E27" s="8">
        <v>38.6</v>
      </c>
      <c r="F27" s="8">
        <v>41.5</v>
      </c>
      <c r="G27" s="8">
        <v>44.2</v>
      </c>
      <c r="H27" s="8">
        <v>54.8</v>
      </c>
      <c r="I27" s="8">
        <v>72.599999999999994</v>
      </c>
      <c r="J27" s="8">
        <v>77.2</v>
      </c>
      <c r="K27" s="8">
        <v>64.099999999999994</v>
      </c>
      <c r="L27" s="8">
        <v>50.9</v>
      </c>
      <c r="M27" s="8">
        <v>60.6</v>
      </c>
      <c r="N27" s="10">
        <f t="shared" si="0"/>
        <v>0.77192982456140347</v>
      </c>
    </row>
    <row r="28" spans="1:14" x14ac:dyDescent="0.2">
      <c r="A28" s="6">
        <v>24</v>
      </c>
      <c r="B28" s="7" t="s">
        <v>100</v>
      </c>
      <c r="C28" s="6" t="s">
        <v>101</v>
      </c>
      <c r="D28" s="8">
        <v>192.1</v>
      </c>
      <c r="E28" s="8">
        <v>214.9</v>
      </c>
      <c r="F28" s="8">
        <v>231.6</v>
      </c>
      <c r="G28" s="8">
        <v>254.1</v>
      </c>
      <c r="H28" s="8">
        <v>244.8</v>
      </c>
      <c r="I28" s="8">
        <v>256.7</v>
      </c>
      <c r="J28" s="8">
        <v>266.8</v>
      </c>
      <c r="K28" s="8">
        <v>279.10000000000002</v>
      </c>
      <c r="L28" s="8">
        <v>291.60000000000002</v>
      </c>
      <c r="M28" s="8">
        <v>304.10000000000002</v>
      </c>
      <c r="N28" s="10">
        <f t="shared" si="0"/>
        <v>0.58302967204580969</v>
      </c>
    </row>
    <row r="29" spans="1:14" x14ac:dyDescent="0.2">
      <c r="A29" s="6">
        <v>25</v>
      </c>
      <c r="B29" s="7" t="s">
        <v>103</v>
      </c>
      <c r="C29" s="6" t="s">
        <v>104</v>
      </c>
      <c r="D29" s="8">
        <v>48.6</v>
      </c>
      <c r="E29" s="8">
        <v>52.2</v>
      </c>
      <c r="F29" s="8">
        <v>56.5</v>
      </c>
      <c r="G29" s="8">
        <v>59.6</v>
      </c>
      <c r="H29" s="8">
        <v>65.400000000000006</v>
      </c>
      <c r="I29" s="8">
        <v>90.6</v>
      </c>
      <c r="J29" s="8">
        <v>96.2</v>
      </c>
      <c r="K29" s="8">
        <v>101.1</v>
      </c>
      <c r="L29" s="8">
        <v>101.2</v>
      </c>
      <c r="M29" s="8">
        <v>112.1</v>
      </c>
      <c r="N29" s="10">
        <f t="shared" si="0"/>
        <v>1.3065843621399176</v>
      </c>
    </row>
    <row r="30" spans="1:14" x14ac:dyDescent="0.2">
      <c r="A30" s="6">
        <v>26</v>
      </c>
      <c r="B30" s="7" t="s">
        <v>106</v>
      </c>
      <c r="C30" s="6" t="s">
        <v>107</v>
      </c>
      <c r="D30" s="8">
        <v>20.6</v>
      </c>
      <c r="E30" s="8">
        <v>25.8</v>
      </c>
      <c r="F30" s="8">
        <v>30.1</v>
      </c>
      <c r="G30" s="8">
        <v>35.799999999999997</v>
      </c>
      <c r="H30" s="8">
        <v>42.9</v>
      </c>
      <c r="I30" s="8">
        <v>48.2</v>
      </c>
      <c r="J30" s="8">
        <v>53.5</v>
      </c>
      <c r="K30" s="8">
        <v>62.1</v>
      </c>
      <c r="L30" s="8">
        <v>74.400000000000006</v>
      </c>
      <c r="M30" s="8">
        <v>78.7</v>
      </c>
      <c r="N30" s="10">
        <f t="shared" si="0"/>
        <v>2.820388349514563</v>
      </c>
    </row>
    <row r="31" spans="1:14" ht="30" x14ac:dyDescent="0.2">
      <c r="A31" s="6">
        <v>27</v>
      </c>
      <c r="B31" s="7" t="s">
        <v>109</v>
      </c>
      <c r="C31" s="6" t="s">
        <v>110</v>
      </c>
      <c r="D31" s="8">
        <v>35.1</v>
      </c>
      <c r="E31" s="8">
        <v>39</v>
      </c>
      <c r="F31" s="8">
        <v>46</v>
      </c>
      <c r="G31" s="8">
        <v>48.4</v>
      </c>
      <c r="H31" s="8">
        <v>49.8</v>
      </c>
      <c r="I31" s="8">
        <v>58.7</v>
      </c>
      <c r="J31" s="8">
        <v>59.7</v>
      </c>
      <c r="K31" s="8">
        <v>58.1</v>
      </c>
      <c r="L31" s="8">
        <v>65.099999999999994</v>
      </c>
      <c r="M31" s="8">
        <v>78</v>
      </c>
      <c r="N31" s="10">
        <f t="shared" si="0"/>
        <v>1.2222222222222223</v>
      </c>
    </row>
    <row r="32" spans="1:14" x14ac:dyDescent="0.2">
      <c r="A32" s="6">
        <v>28</v>
      </c>
      <c r="B32" s="7" t="s">
        <v>112</v>
      </c>
      <c r="C32" s="6" t="s">
        <v>113</v>
      </c>
      <c r="D32" s="8">
        <v>63.6</v>
      </c>
      <c r="E32" s="8">
        <v>68.7</v>
      </c>
      <c r="F32" s="8">
        <v>70.099999999999994</v>
      </c>
      <c r="G32" s="8">
        <v>74.099999999999994</v>
      </c>
      <c r="H32" s="8">
        <v>80.400000000000006</v>
      </c>
      <c r="I32" s="8">
        <v>106.3</v>
      </c>
      <c r="J32" s="8">
        <v>104.4</v>
      </c>
      <c r="K32" s="8">
        <v>77.7</v>
      </c>
      <c r="L32" s="8">
        <v>78.8</v>
      </c>
      <c r="M32" s="8">
        <v>95.2</v>
      </c>
      <c r="N32" s="10">
        <f t="shared" si="0"/>
        <v>0.4968553459119498</v>
      </c>
    </row>
    <row r="33" spans="1:14" x14ac:dyDescent="0.2">
      <c r="A33" s="6">
        <v>29</v>
      </c>
      <c r="B33" s="7" t="s">
        <v>115</v>
      </c>
      <c r="C33" s="6" t="s">
        <v>116</v>
      </c>
      <c r="D33" s="8">
        <v>55.5</v>
      </c>
      <c r="E33" s="8">
        <v>57.1</v>
      </c>
      <c r="F33" s="8">
        <v>60.9</v>
      </c>
      <c r="G33" s="8">
        <v>66.2</v>
      </c>
      <c r="H33" s="8">
        <v>69.599999999999994</v>
      </c>
      <c r="I33" s="8">
        <v>70</v>
      </c>
      <c r="J33" s="8">
        <v>75.900000000000006</v>
      </c>
      <c r="K33" s="8">
        <v>68.2</v>
      </c>
      <c r="L33" s="8">
        <v>65.900000000000006</v>
      </c>
      <c r="M33" s="8">
        <v>76.5</v>
      </c>
      <c r="N33" s="10">
        <f t="shared" si="0"/>
        <v>0.37837837837837829</v>
      </c>
    </row>
    <row r="34" spans="1:14" x14ac:dyDescent="0.2">
      <c r="A34" s="6">
        <v>30</v>
      </c>
      <c r="B34" s="7" t="s">
        <v>118</v>
      </c>
      <c r="C34" s="6" t="s">
        <v>119</v>
      </c>
      <c r="D34" s="8">
        <v>180.5</v>
      </c>
      <c r="E34" s="8">
        <v>205.7</v>
      </c>
      <c r="F34" s="8">
        <v>196</v>
      </c>
      <c r="G34" s="8">
        <v>160.30000000000001</v>
      </c>
      <c r="H34" s="8">
        <v>178</v>
      </c>
      <c r="I34" s="8">
        <v>249.4</v>
      </c>
      <c r="J34" s="8">
        <v>178.6</v>
      </c>
      <c r="K34" s="8">
        <v>238.7</v>
      </c>
      <c r="L34" s="8">
        <v>242.9</v>
      </c>
      <c r="M34" s="8">
        <v>299.39999999999998</v>
      </c>
      <c r="N34" s="10">
        <f t="shared" si="0"/>
        <v>0.65872576177285302</v>
      </c>
    </row>
    <row r="35" spans="1:14" ht="30" x14ac:dyDescent="0.2">
      <c r="A35" s="6">
        <v>31</v>
      </c>
      <c r="B35" s="7" t="s">
        <v>121</v>
      </c>
      <c r="C35" s="6" t="s">
        <v>122</v>
      </c>
      <c r="D35" s="8">
        <v>43.6</v>
      </c>
      <c r="E35" s="8">
        <v>66.5</v>
      </c>
      <c r="F35" s="8">
        <v>66.599999999999994</v>
      </c>
      <c r="G35" s="8">
        <v>65</v>
      </c>
      <c r="H35" s="8">
        <v>65.900000000000006</v>
      </c>
      <c r="I35" s="8">
        <v>86.1</v>
      </c>
      <c r="J35" s="8">
        <v>89.1</v>
      </c>
      <c r="K35" s="8">
        <v>78.3</v>
      </c>
      <c r="L35" s="8">
        <v>73.400000000000006</v>
      </c>
      <c r="M35" s="8">
        <v>82.3</v>
      </c>
      <c r="N35" s="10">
        <f t="shared" si="0"/>
        <v>0.88761467889908241</v>
      </c>
    </row>
    <row r="36" spans="1:14" ht="30" x14ac:dyDescent="0.2">
      <c r="A36" s="6">
        <v>32</v>
      </c>
      <c r="B36" s="7" t="s">
        <v>124</v>
      </c>
      <c r="C36" s="6" t="s">
        <v>125</v>
      </c>
      <c r="D36" s="8">
        <v>146</v>
      </c>
      <c r="E36" s="8">
        <v>150.6</v>
      </c>
      <c r="F36" s="8">
        <v>157.69999999999999</v>
      </c>
      <c r="G36" s="8">
        <v>166.9</v>
      </c>
      <c r="H36" s="8">
        <v>174.4</v>
      </c>
      <c r="I36" s="8">
        <v>190.4</v>
      </c>
      <c r="J36" s="8">
        <v>183.9</v>
      </c>
      <c r="K36" s="8">
        <v>161.19999999999999</v>
      </c>
      <c r="L36" s="8">
        <v>177.4</v>
      </c>
      <c r="M36" s="8">
        <v>233.5</v>
      </c>
      <c r="N36" s="10">
        <f t="shared" si="0"/>
        <v>0.59931506849315075</v>
      </c>
    </row>
    <row r="37" spans="1:14" x14ac:dyDescent="0.2">
      <c r="A37" s="6">
        <v>33</v>
      </c>
      <c r="B37" s="7" t="s">
        <v>127</v>
      </c>
      <c r="C37" s="6" t="s">
        <v>128</v>
      </c>
      <c r="D37" s="8">
        <v>22.7</v>
      </c>
      <c r="E37" s="8">
        <v>26</v>
      </c>
      <c r="F37" s="8">
        <v>26.6</v>
      </c>
      <c r="G37" s="8">
        <v>24.1</v>
      </c>
      <c r="H37" s="8">
        <v>24.7</v>
      </c>
      <c r="I37" s="8">
        <v>25.8</v>
      </c>
      <c r="J37" s="8">
        <v>33.6</v>
      </c>
      <c r="K37" s="8">
        <v>40.6</v>
      </c>
      <c r="L37" s="8">
        <v>31.8</v>
      </c>
      <c r="M37" s="8">
        <v>31.6</v>
      </c>
      <c r="N37" s="10">
        <f t="shared" ref="N37:N68" si="1">IF(D37=0,"N/A",(M37/D37)-1)</f>
        <v>0.39207048458149796</v>
      </c>
    </row>
    <row r="38" spans="1:14" x14ac:dyDescent="0.2">
      <c r="A38" s="6">
        <v>34</v>
      </c>
      <c r="B38" s="7" t="s">
        <v>130</v>
      </c>
      <c r="C38" s="6" t="s">
        <v>131</v>
      </c>
      <c r="D38" s="8">
        <v>34.4</v>
      </c>
      <c r="E38" s="8">
        <v>37.9</v>
      </c>
      <c r="F38" s="8">
        <v>38.799999999999997</v>
      </c>
      <c r="G38" s="8">
        <v>44.2</v>
      </c>
      <c r="H38" s="8">
        <v>43.6</v>
      </c>
      <c r="I38" s="8">
        <v>51.5</v>
      </c>
      <c r="J38" s="8">
        <v>51.1</v>
      </c>
      <c r="K38" s="8">
        <v>45.8</v>
      </c>
      <c r="L38" s="8">
        <v>49.8</v>
      </c>
      <c r="M38" s="8">
        <v>57.7</v>
      </c>
      <c r="N38" s="10">
        <f t="shared" si="1"/>
        <v>0.67732558139534893</v>
      </c>
    </row>
    <row r="39" spans="1:14" x14ac:dyDescent="0.2">
      <c r="A39" s="6">
        <v>35</v>
      </c>
      <c r="B39" s="7" t="s">
        <v>133</v>
      </c>
      <c r="C39" s="6" t="s">
        <v>134</v>
      </c>
      <c r="D39" s="8">
        <v>26.1</v>
      </c>
      <c r="E39" s="8">
        <v>28.9</v>
      </c>
      <c r="F39" s="8">
        <v>30.9</v>
      </c>
      <c r="G39" s="8">
        <v>34.700000000000003</v>
      </c>
      <c r="H39" s="8">
        <v>38</v>
      </c>
      <c r="I39" s="8">
        <v>43.7</v>
      </c>
      <c r="J39" s="8">
        <v>46.3</v>
      </c>
      <c r="K39" s="8">
        <v>47.8</v>
      </c>
      <c r="L39" s="8">
        <v>50.8</v>
      </c>
      <c r="M39" s="8">
        <v>54.4</v>
      </c>
      <c r="N39" s="10">
        <f t="shared" si="1"/>
        <v>1.0842911877394634</v>
      </c>
    </row>
    <row r="40" spans="1:14" x14ac:dyDescent="0.2">
      <c r="A40" s="6">
        <v>36</v>
      </c>
      <c r="B40" s="7" t="s">
        <v>136</v>
      </c>
      <c r="C40" s="6" t="s">
        <v>137</v>
      </c>
      <c r="D40" s="8">
        <v>55.9</v>
      </c>
      <c r="E40" s="8">
        <v>59.3</v>
      </c>
      <c r="F40" s="8">
        <v>53.6</v>
      </c>
      <c r="G40" s="8">
        <v>60.5</v>
      </c>
      <c r="H40" s="8">
        <v>54.2</v>
      </c>
      <c r="I40" s="8">
        <v>50.7</v>
      </c>
      <c r="J40" s="8">
        <v>53.5</v>
      </c>
      <c r="K40" s="8">
        <v>73.2</v>
      </c>
      <c r="L40" s="8">
        <v>89</v>
      </c>
      <c r="M40" s="8">
        <v>92</v>
      </c>
      <c r="N40" s="10">
        <f t="shared" si="1"/>
        <v>0.64579606440071569</v>
      </c>
    </row>
    <row r="41" spans="1:14" ht="30" x14ac:dyDescent="0.2">
      <c r="A41" s="6">
        <v>37</v>
      </c>
      <c r="B41" s="7" t="s">
        <v>139</v>
      </c>
      <c r="C41" s="6" t="s">
        <v>140</v>
      </c>
      <c r="D41" s="8">
        <v>58.8</v>
      </c>
      <c r="E41" s="8">
        <v>72.400000000000006</v>
      </c>
      <c r="F41" s="8">
        <v>124.1</v>
      </c>
      <c r="G41" s="8">
        <v>111.5</v>
      </c>
      <c r="H41" s="8">
        <v>62.1</v>
      </c>
      <c r="I41" s="8">
        <v>65.7</v>
      </c>
      <c r="J41" s="8">
        <v>142.9</v>
      </c>
      <c r="K41" s="8">
        <v>111.7</v>
      </c>
      <c r="L41" s="8">
        <v>210.1</v>
      </c>
      <c r="M41" s="8">
        <v>196.2</v>
      </c>
      <c r="N41" s="10">
        <f t="shared" si="1"/>
        <v>2.3367346938775508</v>
      </c>
    </row>
    <row r="42" spans="1:14" ht="30" x14ac:dyDescent="0.2">
      <c r="A42" s="6">
        <v>38</v>
      </c>
      <c r="B42" s="7" t="s">
        <v>142</v>
      </c>
      <c r="C42" s="6" t="s">
        <v>143</v>
      </c>
      <c r="D42" s="8">
        <v>86.2</v>
      </c>
      <c r="E42" s="8">
        <v>101.6</v>
      </c>
      <c r="F42" s="8">
        <v>106.7</v>
      </c>
      <c r="G42" s="8">
        <v>114.6</v>
      </c>
      <c r="H42" s="8">
        <v>116.3</v>
      </c>
      <c r="I42" s="8">
        <v>150.19999999999999</v>
      </c>
      <c r="J42" s="8">
        <v>166.9</v>
      </c>
      <c r="K42" s="8">
        <v>180.4</v>
      </c>
      <c r="L42" s="8">
        <v>170.2</v>
      </c>
      <c r="M42" s="8">
        <v>205.2</v>
      </c>
      <c r="N42" s="10">
        <f t="shared" si="1"/>
        <v>1.3805104408352666</v>
      </c>
    </row>
    <row r="43" spans="1:14" x14ac:dyDescent="0.2">
      <c r="A43" s="6">
        <v>39</v>
      </c>
      <c r="B43" s="7" t="s">
        <v>145</v>
      </c>
      <c r="C43" s="6" t="s">
        <v>146</v>
      </c>
      <c r="D43" s="8">
        <v>9.74</v>
      </c>
      <c r="E43" s="8">
        <v>7.63</v>
      </c>
      <c r="F43" s="8">
        <v>7.15</v>
      </c>
      <c r="G43" s="8">
        <v>18.100000000000001</v>
      </c>
      <c r="H43" s="8">
        <v>17.8</v>
      </c>
      <c r="I43" s="8">
        <v>19.600000000000001</v>
      </c>
      <c r="J43" s="8">
        <v>21.3</v>
      </c>
      <c r="K43" s="8">
        <v>24.7</v>
      </c>
      <c r="L43" s="8">
        <v>27.3</v>
      </c>
      <c r="M43" s="8">
        <v>31.2</v>
      </c>
      <c r="N43" s="10">
        <f t="shared" si="1"/>
        <v>2.2032854209445585</v>
      </c>
    </row>
    <row r="44" spans="1:14" x14ac:dyDescent="0.2">
      <c r="A44" s="6">
        <v>40</v>
      </c>
      <c r="B44" s="7" t="s">
        <v>148</v>
      </c>
      <c r="C44" s="6" t="s">
        <v>149</v>
      </c>
      <c r="D44" s="8">
        <v>384.4</v>
      </c>
      <c r="E44" s="8">
        <v>617.70000000000005</v>
      </c>
      <c r="F44" s="8">
        <v>764.9</v>
      </c>
      <c r="G44" s="8">
        <v>1106.5999999999999</v>
      </c>
      <c r="H44" s="8">
        <v>910</v>
      </c>
      <c r="I44" s="8">
        <v>1098.5</v>
      </c>
      <c r="J44" s="8">
        <v>985</v>
      </c>
      <c r="K44" s="8">
        <v>672.5</v>
      </c>
      <c r="L44" s="8">
        <v>900.2</v>
      </c>
      <c r="M44" s="8">
        <v>1117.3</v>
      </c>
      <c r="N44" s="10">
        <f t="shared" si="1"/>
        <v>1.9066077003121751</v>
      </c>
    </row>
    <row r="45" spans="1:14" x14ac:dyDescent="0.2">
      <c r="A45" s="6">
        <v>41</v>
      </c>
      <c r="B45" s="7" t="s">
        <v>151</v>
      </c>
      <c r="C45" s="6" t="s">
        <v>152</v>
      </c>
      <c r="D45" s="8">
        <v>21.3</v>
      </c>
      <c r="E45" s="8">
        <v>20.3</v>
      </c>
      <c r="F45" s="8">
        <v>21.1</v>
      </c>
      <c r="G45" s="8">
        <v>22</v>
      </c>
      <c r="H45" s="8">
        <v>24.6</v>
      </c>
      <c r="I45" s="8">
        <v>27.1</v>
      </c>
      <c r="J45" s="8">
        <v>27.2</v>
      </c>
      <c r="K45" s="8">
        <v>22.4</v>
      </c>
      <c r="L45" s="8">
        <v>24.2</v>
      </c>
      <c r="M45" s="8">
        <v>28.6</v>
      </c>
      <c r="N45" s="10">
        <f t="shared" si="1"/>
        <v>0.34272300469483574</v>
      </c>
    </row>
    <row r="46" spans="1:14" x14ac:dyDescent="0.2">
      <c r="A46" s="6">
        <v>42</v>
      </c>
      <c r="B46" s="7" t="s">
        <v>154</v>
      </c>
      <c r="C46" s="6" t="s">
        <v>155</v>
      </c>
      <c r="D46" s="8">
        <v>1021.1</v>
      </c>
      <c r="E46" s="8">
        <v>1054.0999999999999</v>
      </c>
      <c r="F46" s="8">
        <v>1102.0999999999999</v>
      </c>
      <c r="G46" s="8">
        <v>1123.7</v>
      </c>
      <c r="H46" s="8">
        <v>825.1</v>
      </c>
      <c r="I46" s="8">
        <v>1063.5</v>
      </c>
      <c r="J46" s="8">
        <v>1329</v>
      </c>
      <c r="K46" s="8">
        <v>1549.5</v>
      </c>
      <c r="L46" s="8">
        <v>1530.5</v>
      </c>
      <c r="M46" s="8">
        <v>1493.9</v>
      </c>
      <c r="N46" s="10">
        <f t="shared" si="1"/>
        <v>0.46303006561551263</v>
      </c>
    </row>
    <row r="47" spans="1:14" x14ac:dyDescent="0.2">
      <c r="A47" s="6">
        <v>43</v>
      </c>
      <c r="B47" s="7" t="s">
        <v>157</v>
      </c>
      <c r="C47" s="6" t="s">
        <v>158</v>
      </c>
      <c r="D47" s="8">
        <v>633.1</v>
      </c>
      <c r="E47" s="8">
        <v>626.29999999999995</v>
      </c>
      <c r="F47" s="8">
        <v>662.1</v>
      </c>
      <c r="G47" s="8">
        <v>606.70000000000005</v>
      </c>
      <c r="H47" s="8">
        <v>547.5</v>
      </c>
      <c r="I47" s="8">
        <v>623.70000000000005</v>
      </c>
      <c r="J47" s="8">
        <v>653.9</v>
      </c>
      <c r="K47" s="8">
        <v>689.2</v>
      </c>
      <c r="L47" s="8">
        <v>719.2</v>
      </c>
      <c r="M47" s="8">
        <v>723.2</v>
      </c>
      <c r="N47" s="10">
        <f t="shared" si="1"/>
        <v>0.14231558995419369</v>
      </c>
    </row>
    <row r="48" spans="1:14" x14ac:dyDescent="0.2">
      <c r="A48" s="6">
        <v>44</v>
      </c>
      <c r="B48" s="7" t="s">
        <v>160</v>
      </c>
      <c r="C48" s="6" t="s">
        <v>161</v>
      </c>
      <c r="D48" s="8">
        <v>20.7</v>
      </c>
      <c r="E48" s="8">
        <v>19.8</v>
      </c>
      <c r="F48" s="8">
        <v>23.4</v>
      </c>
      <c r="G48" s="8">
        <v>24.9</v>
      </c>
      <c r="H48" s="8">
        <v>32.6</v>
      </c>
      <c r="I48" s="8">
        <v>41.2</v>
      </c>
      <c r="J48" s="8">
        <v>47.4</v>
      </c>
      <c r="K48" s="8">
        <v>40.299999999999997</v>
      </c>
      <c r="L48" s="8">
        <v>25</v>
      </c>
      <c r="M48" s="8">
        <v>32.799999999999997</v>
      </c>
      <c r="N48" s="10">
        <f t="shared" si="1"/>
        <v>0.5845410628019323</v>
      </c>
    </row>
    <row r="49" spans="1:14" ht="30" x14ac:dyDescent="0.2">
      <c r="A49" s="6">
        <v>45</v>
      </c>
      <c r="B49" s="7" t="s">
        <v>163</v>
      </c>
      <c r="C49" s="6" t="s">
        <v>164</v>
      </c>
      <c r="D49" s="8">
        <v>992.1</v>
      </c>
      <c r="E49" s="8">
        <v>1188.2</v>
      </c>
      <c r="F49" s="8">
        <v>1472.4</v>
      </c>
      <c r="G49" s="8">
        <v>1517.6</v>
      </c>
      <c r="H49" s="8">
        <v>1371.9</v>
      </c>
      <c r="I49" s="8">
        <v>1542.4</v>
      </c>
      <c r="J49" s="8">
        <v>1557.7</v>
      </c>
      <c r="K49" s="8">
        <v>1541.6</v>
      </c>
      <c r="L49" s="8">
        <v>1610.5</v>
      </c>
      <c r="M49" s="8">
        <v>1635.2</v>
      </c>
      <c r="N49" s="10">
        <f t="shared" si="1"/>
        <v>0.64822094546920672</v>
      </c>
    </row>
    <row r="50" spans="1:14" x14ac:dyDescent="0.2">
      <c r="A50" s="6">
        <v>46</v>
      </c>
      <c r="B50" s="7" t="s">
        <v>166</v>
      </c>
      <c r="C50" s="6" t="s">
        <v>167</v>
      </c>
      <c r="D50" s="8">
        <v>1480</v>
      </c>
      <c r="E50" s="8">
        <v>1556</v>
      </c>
      <c r="F50" s="8">
        <v>1615</v>
      </c>
      <c r="G50" s="8">
        <v>1560</v>
      </c>
      <c r="H50" s="8">
        <v>604</v>
      </c>
      <c r="I50" s="8">
        <v>902</v>
      </c>
      <c r="J50" s="8">
        <v>1492</v>
      </c>
      <c r="K50" s="8">
        <v>1788</v>
      </c>
      <c r="L50" s="8">
        <v>1835</v>
      </c>
      <c r="M50" s="8">
        <v>1891</v>
      </c>
      <c r="N50" s="10">
        <f t="shared" si="1"/>
        <v>0.27770270270270281</v>
      </c>
    </row>
    <row r="51" spans="1:14" x14ac:dyDescent="0.2">
      <c r="A51" s="6">
        <v>47</v>
      </c>
      <c r="B51" s="7" t="s">
        <v>169</v>
      </c>
      <c r="C51" s="6" t="s">
        <v>170</v>
      </c>
      <c r="D51" s="8">
        <v>63.4</v>
      </c>
      <c r="E51" s="8">
        <v>57.1</v>
      </c>
      <c r="F51" s="8">
        <v>35</v>
      </c>
      <c r="G51" s="8">
        <v>111</v>
      </c>
      <c r="H51" s="8">
        <v>36</v>
      </c>
      <c r="I51" s="8">
        <v>30.5</v>
      </c>
      <c r="J51" s="8">
        <v>35.1</v>
      </c>
      <c r="K51" s="8">
        <v>38.5</v>
      </c>
      <c r="L51" s="8">
        <v>33.9</v>
      </c>
      <c r="M51" s="8">
        <v>1555.9</v>
      </c>
      <c r="N51" s="10">
        <f t="shared" si="1"/>
        <v>23.5410094637224</v>
      </c>
    </row>
    <row r="52" spans="1:14" ht="30" x14ac:dyDescent="0.2">
      <c r="A52" s="6">
        <v>48</v>
      </c>
      <c r="B52" s="7" t="s">
        <v>172</v>
      </c>
      <c r="C52" s="6" t="s">
        <v>173</v>
      </c>
      <c r="D52" s="8">
        <v>59</v>
      </c>
      <c r="E52" s="8">
        <v>63.7</v>
      </c>
      <c r="F52" s="8">
        <v>62.8</v>
      </c>
      <c r="G52" s="8">
        <v>74.2</v>
      </c>
      <c r="H52" s="8">
        <v>92.1</v>
      </c>
      <c r="I52" s="8">
        <v>114.7</v>
      </c>
      <c r="J52" s="8">
        <v>80.900000000000006</v>
      </c>
      <c r="K52" s="8">
        <v>63.5</v>
      </c>
      <c r="L52" s="8">
        <v>65.5</v>
      </c>
      <c r="M52" s="8">
        <v>102.8</v>
      </c>
      <c r="N52" s="10">
        <f t="shared" si="1"/>
        <v>0.74237288135593205</v>
      </c>
    </row>
    <row r="53" spans="1:14" x14ac:dyDescent="0.2">
      <c r="A53" s="6">
        <v>49</v>
      </c>
      <c r="B53" s="7" t="s">
        <v>175</v>
      </c>
      <c r="C53" s="6" t="s">
        <v>176</v>
      </c>
      <c r="D53" s="8">
        <v>5</v>
      </c>
      <c r="E53" s="8">
        <v>4.93</v>
      </c>
      <c r="F53" s="8">
        <v>4.97</v>
      </c>
      <c r="G53" s="8">
        <v>4.97</v>
      </c>
      <c r="H53" s="8">
        <v>4.0599999999999996</v>
      </c>
      <c r="I53" s="8">
        <v>6</v>
      </c>
      <c r="J53" s="8">
        <v>7.37</v>
      </c>
      <c r="K53" s="8">
        <v>7.64</v>
      </c>
      <c r="L53" s="8">
        <v>7.96</v>
      </c>
      <c r="M53" s="8">
        <v>8.31</v>
      </c>
      <c r="N53" s="10">
        <f t="shared" si="1"/>
        <v>0.66200000000000014</v>
      </c>
    </row>
    <row r="54" spans="1:14" x14ac:dyDescent="0.2">
      <c r="A54" s="6">
        <v>50</v>
      </c>
      <c r="B54" s="7" t="s">
        <v>178</v>
      </c>
      <c r="C54" s="6" t="s">
        <v>179</v>
      </c>
      <c r="D54" s="8">
        <v>2963.3</v>
      </c>
      <c r="E54" s="8">
        <v>2702.5</v>
      </c>
      <c r="F54" s="8">
        <v>2660.5</v>
      </c>
      <c r="G54" s="8">
        <v>2669.9</v>
      </c>
      <c r="H54" s="8">
        <v>2814.2</v>
      </c>
      <c r="I54" s="8">
        <v>4583.5</v>
      </c>
      <c r="J54" s="8">
        <v>4245.3999999999996</v>
      </c>
      <c r="K54" s="8">
        <v>3992.4</v>
      </c>
      <c r="L54" s="8">
        <v>4320.6000000000004</v>
      </c>
      <c r="M54" s="8">
        <v>4695.1000000000004</v>
      </c>
      <c r="N54" s="10">
        <f t="shared" si="1"/>
        <v>0.58441602267742043</v>
      </c>
    </row>
    <row r="55" spans="1:14" x14ac:dyDescent="0.2">
      <c r="A55" s="6">
        <v>51</v>
      </c>
      <c r="B55" s="7" t="s">
        <v>181</v>
      </c>
      <c r="C55" s="6" t="s">
        <v>182</v>
      </c>
      <c r="D55" s="8">
        <v>1.79</v>
      </c>
      <c r="E55" s="8">
        <v>2.25</v>
      </c>
      <c r="F55" s="8">
        <v>2.4700000000000002</v>
      </c>
      <c r="G55" s="8">
        <v>3.13</v>
      </c>
      <c r="H55" s="8">
        <v>3.57</v>
      </c>
      <c r="I55" s="8">
        <v>4.01</v>
      </c>
      <c r="J55" s="8">
        <v>3.96</v>
      </c>
      <c r="K55" s="8">
        <v>4.3899999999999997</v>
      </c>
      <c r="L55" s="8">
        <v>4.91</v>
      </c>
      <c r="M55" s="8">
        <v>5.63</v>
      </c>
      <c r="N55" s="10">
        <f t="shared" si="1"/>
        <v>2.1452513966480447</v>
      </c>
    </row>
    <row r="56" spans="1:14" x14ac:dyDescent="0.2">
      <c r="A56" s="6">
        <v>52</v>
      </c>
      <c r="B56" s="7" t="s">
        <v>184</v>
      </c>
      <c r="C56" s="6" t="s">
        <v>185</v>
      </c>
      <c r="D56" s="8">
        <v>1000.6</v>
      </c>
      <c r="E56" s="8">
        <v>1010.1</v>
      </c>
      <c r="F56" s="8">
        <v>1038.2</v>
      </c>
      <c r="G56" s="8">
        <v>1031.3</v>
      </c>
      <c r="H56" s="8">
        <v>962.7</v>
      </c>
      <c r="I56" s="8">
        <v>1270.9000000000001</v>
      </c>
      <c r="J56" s="8">
        <v>1284.8</v>
      </c>
      <c r="K56" s="8">
        <v>1186.5</v>
      </c>
      <c r="L56" s="8">
        <v>1220.0999999999999</v>
      </c>
      <c r="M56" s="8">
        <v>1144.2</v>
      </c>
      <c r="N56" s="10">
        <f t="shared" si="1"/>
        <v>0.14351389166500095</v>
      </c>
    </row>
    <row r="57" spans="1:14" x14ac:dyDescent="0.2">
      <c r="A57" s="6">
        <v>53</v>
      </c>
      <c r="B57" s="7" t="s">
        <v>187</v>
      </c>
      <c r="C57" s="6" t="s">
        <v>188</v>
      </c>
      <c r="D57" s="8">
        <v>30</v>
      </c>
      <c r="E57" s="8">
        <v>32.1</v>
      </c>
      <c r="F57" s="8">
        <v>32.1</v>
      </c>
      <c r="G57" s="8">
        <v>33.9</v>
      </c>
      <c r="H57" s="8">
        <v>36.4</v>
      </c>
      <c r="I57" s="8">
        <v>42.8</v>
      </c>
      <c r="J57" s="8">
        <v>43.5</v>
      </c>
      <c r="K57" s="8">
        <v>37.200000000000003</v>
      </c>
      <c r="L57" s="8">
        <v>35.9</v>
      </c>
      <c r="M57" s="8">
        <v>42.8</v>
      </c>
      <c r="N57" s="10">
        <f t="shared" si="1"/>
        <v>0.42666666666666653</v>
      </c>
    </row>
    <row r="58" spans="1:14" ht="30" x14ac:dyDescent="0.2">
      <c r="A58" s="6">
        <v>54</v>
      </c>
      <c r="B58" s="7" t="s">
        <v>190</v>
      </c>
      <c r="C58" s="6" t="s">
        <v>191</v>
      </c>
      <c r="D58" s="8">
        <v>252.6</v>
      </c>
      <c r="E58" s="8">
        <v>266.8</v>
      </c>
      <c r="F58" s="8">
        <v>346.4</v>
      </c>
      <c r="G58" s="8">
        <v>376.7</v>
      </c>
      <c r="H58" s="8">
        <v>526.70000000000005</v>
      </c>
      <c r="I58" s="8">
        <v>537</v>
      </c>
      <c r="J58" s="8">
        <v>578.79999999999995</v>
      </c>
      <c r="K58" s="8">
        <v>543.29999999999995</v>
      </c>
      <c r="L58" s="8">
        <v>565.70000000000005</v>
      </c>
      <c r="M58" s="8">
        <v>566.20000000000005</v>
      </c>
      <c r="N58" s="10">
        <f t="shared" si="1"/>
        <v>1.2414885193982585</v>
      </c>
    </row>
    <row r="59" spans="1:14" x14ac:dyDescent="0.2">
      <c r="A59" s="6">
        <v>55</v>
      </c>
      <c r="B59" s="7" t="s">
        <v>193</v>
      </c>
      <c r="C59" s="6" t="s">
        <v>194</v>
      </c>
      <c r="D59" s="8">
        <v>902.9</v>
      </c>
      <c r="E59" s="8">
        <v>914</v>
      </c>
      <c r="F59" s="8">
        <v>978.7</v>
      </c>
      <c r="G59" s="8">
        <v>1036.5999999999999</v>
      </c>
      <c r="H59" s="8">
        <v>1166.0999999999999</v>
      </c>
      <c r="I59" s="8">
        <v>1289.7</v>
      </c>
      <c r="J59" s="8">
        <v>1653.9</v>
      </c>
      <c r="K59" s="8">
        <v>2046.6</v>
      </c>
      <c r="L59" s="8">
        <v>2202.5</v>
      </c>
      <c r="M59" s="8">
        <v>2273.9</v>
      </c>
      <c r="N59" s="10">
        <f t="shared" si="1"/>
        <v>1.5184405803521988</v>
      </c>
    </row>
    <row r="60" spans="1:14" x14ac:dyDescent="0.2">
      <c r="A60" s="6">
        <v>56</v>
      </c>
      <c r="B60" s="7" t="s">
        <v>196</v>
      </c>
      <c r="C60" s="6" t="s">
        <v>197</v>
      </c>
      <c r="D60" s="8">
        <v>9.75</v>
      </c>
      <c r="E60" s="8">
        <v>12.7</v>
      </c>
      <c r="F60" s="8">
        <v>13.9</v>
      </c>
      <c r="G60" s="8">
        <v>12.6</v>
      </c>
      <c r="H60" s="8">
        <v>12.4</v>
      </c>
      <c r="I60" s="8">
        <v>12.6</v>
      </c>
      <c r="J60" s="8">
        <v>13.6</v>
      </c>
      <c r="K60" s="8">
        <v>11</v>
      </c>
      <c r="L60" s="8">
        <v>12.3</v>
      </c>
      <c r="M60" s="8">
        <v>10.1</v>
      </c>
      <c r="N60" s="10">
        <f t="shared" si="1"/>
        <v>3.589743589743577E-2</v>
      </c>
    </row>
    <row r="61" spans="1:14" x14ac:dyDescent="0.2">
      <c r="A61" s="6">
        <v>57</v>
      </c>
      <c r="B61" s="7" t="s">
        <v>199</v>
      </c>
      <c r="C61" s="6" t="s">
        <v>200</v>
      </c>
      <c r="D61" s="8">
        <v>1058.5</v>
      </c>
      <c r="E61" s="8">
        <v>1116.0999999999999</v>
      </c>
      <c r="F61" s="8">
        <v>1092.0999999999999</v>
      </c>
      <c r="G61" s="8">
        <v>1137.9000000000001</v>
      </c>
      <c r="H61" s="8">
        <v>1128.5999999999999</v>
      </c>
      <c r="I61" s="8">
        <v>1298.8</v>
      </c>
      <c r="J61" s="8">
        <v>1371.8</v>
      </c>
      <c r="K61" s="8">
        <v>1358.3</v>
      </c>
      <c r="L61" s="8">
        <v>1463.8</v>
      </c>
      <c r="M61" s="8">
        <v>1791.2</v>
      </c>
      <c r="N61" s="10">
        <f t="shared" si="1"/>
        <v>0.69220595181861122</v>
      </c>
    </row>
    <row r="62" spans="1:14" x14ac:dyDescent="0.2">
      <c r="A62" s="6">
        <v>58</v>
      </c>
      <c r="B62" s="7" t="s">
        <v>202</v>
      </c>
      <c r="C62" s="6" t="s">
        <v>203</v>
      </c>
      <c r="D62" s="8">
        <v>2941.3</v>
      </c>
      <c r="E62" s="8">
        <v>3300.2</v>
      </c>
      <c r="F62" s="8">
        <v>3828.5</v>
      </c>
      <c r="G62" s="8">
        <v>4314.8</v>
      </c>
      <c r="H62" s="8">
        <v>4287</v>
      </c>
      <c r="I62" s="8">
        <v>4973.1000000000004</v>
      </c>
      <c r="J62" s="8">
        <v>5939</v>
      </c>
      <c r="K62" s="8">
        <v>6486</v>
      </c>
      <c r="L62" s="8">
        <v>6581</v>
      </c>
      <c r="M62" s="8">
        <v>6812</v>
      </c>
      <c r="N62" s="10">
        <f t="shared" si="1"/>
        <v>1.3159827287253933</v>
      </c>
    </row>
    <row r="63" spans="1:14" x14ac:dyDescent="0.2">
      <c r="A63" s="6">
        <v>59</v>
      </c>
      <c r="B63" s="7" t="s">
        <v>205</v>
      </c>
      <c r="C63" s="6" t="s">
        <v>206</v>
      </c>
      <c r="D63" s="8">
        <v>291.39999999999998</v>
      </c>
      <c r="E63" s="8">
        <v>361.2</v>
      </c>
      <c r="F63" s="8">
        <v>372.4</v>
      </c>
      <c r="G63" s="8">
        <v>437.9</v>
      </c>
      <c r="H63" s="8">
        <v>428.2</v>
      </c>
      <c r="I63" s="8">
        <v>473.2</v>
      </c>
      <c r="J63" s="8">
        <v>500.9</v>
      </c>
      <c r="K63" s="8">
        <v>546.1</v>
      </c>
      <c r="L63" s="8">
        <v>488.9</v>
      </c>
      <c r="M63" s="8">
        <v>555.1</v>
      </c>
      <c r="N63" s="10">
        <f t="shared" si="1"/>
        <v>0.90494166094715189</v>
      </c>
    </row>
    <row r="64" spans="1:14" x14ac:dyDescent="0.2">
      <c r="A64" s="6">
        <v>60</v>
      </c>
      <c r="B64" s="7" t="s">
        <v>208</v>
      </c>
      <c r="C64" s="6" t="s">
        <v>209</v>
      </c>
      <c r="D64" s="8">
        <v>119.5</v>
      </c>
      <c r="E64" s="8">
        <v>142.80000000000001</v>
      </c>
      <c r="F64" s="8">
        <v>143</v>
      </c>
      <c r="G64" s="8">
        <v>147.80000000000001</v>
      </c>
      <c r="H64" s="8">
        <v>160.6</v>
      </c>
      <c r="I64" s="8">
        <v>178.9</v>
      </c>
      <c r="J64" s="8">
        <v>201.3</v>
      </c>
      <c r="K64" s="8">
        <v>228.8</v>
      </c>
      <c r="L64" s="8">
        <v>195.3</v>
      </c>
      <c r="M64" s="8">
        <v>200.4</v>
      </c>
      <c r="N64" s="10">
        <f t="shared" si="1"/>
        <v>0.67698744769874475</v>
      </c>
    </row>
    <row r="65" spans="1:14" x14ac:dyDescent="0.2">
      <c r="A65" s="6">
        <v>61</v>
      </c>
      <c r="B65" s="7" t="s">
        <v>211</v>
      </c>
      <c r="C65" s="6" t="s">
        <v>212</v>
      </c>
      <c r="D65" s="8">
        <v>73.7</v>
      </c>
      <c r="E65" s="8">
        <v>64.900000000000006</v>
      </c>
      <c r="F65" s="8">
        <v>77.400000000000006</v>
      </c>
      <c r="G65" s="8">
        <v>74.8</v>
      </c>
      <c r="H65" s="8">
        <v>77.599999999999994</v>
      </c>
      <c r="I65" s="8">
        <v>83.5</v>
      </c>
      <c r="J65" s="8">
        <v>79.099999999999994</v>
      </c>
      <c r="K65" s="8">
        <v>86.7</v>
      </c>
      <c r="L65" s="8">
        <v>86.6</v>
      </c>
      <c r="M65" s="8">
        <v>83.1</v>
      </c>
      <c r="N65" s="10">
        <f t="shared" si="1"/>
        <v>0.12754409769335129</v>
      </c>
    </row>
    <row r="66" spans="1:14" ht="30" x14ac:dyDescent="0.2">
      <c r="A66" s="6">
        <v>62</v>
      </c>
      <c r="B66" s="7" t="s">
        <v>214</v>
      </c>
      <c r="C66" s="6" t="s">
        <v>215</v>
      </c>
      <c r="D66" s="8">
        <v>28.5</v>
      </c>
      <c r="E66" s="8">
        <v>37.700000000000003</v>
      </c>
      <c r="F66" s="8">
        <v>44.8</v>
      </c>
      <c r="G66" s="8">
        <v>38.4</v>
      </c>
      <c r="H66" s="8">
        <v>22.4</v>
      </c>
      <c r="I66" s="8">
        <v>62.6</v>
      </c>
      <c r="J66" s="8">
        <v>141.19999999999999</v>
      </c>
      <c r="K66" s="8">
        <v>96.7</v>
      </c>
      <c r="L66" s="8">
        <v>86.4</v>
      </c>
      <c r="M66" s="8">
        <v>85.6</v>
      </c>
      <c r="N66" s="10">
        <f t="shared" si="1"/>
        <v>2.0035087719298246</v>
      </c>
    </row>
    <row r="67" spans="1:14" x14ac:dyDescent="0.2">
      <c r="A67" s="6">
        <v>63</v>
      </c>
      <c r="B67" s="7" t="s">
        <v>217</v>
      </c>
      <c r="C67" s="6" t="s">
        <v>218</v>
      </c>
      <c r="D67" s="8">
        <v>27.1</v>
      </c>
      <c r="E67" s="8">
        <v>31.6</v>
      </c>
      <c r="F67" s="8">
        <v>31.2</v>
      </c>
      <c r="G67" s="8">
        <v>29.4</v>
      </c>
      <c r="H67" s="8">
        <v>25.4</v>
      </c>
      <c r="I67" s="8">
        <v>28.2</v>
      </c>
      <c r="J67" s="8">
        <v>28.6</v>
      </c>
      <c r="K67" s="8">
        <v>39.299999999999997</v>
      </c>
      <c r="L67" s="8">
        <v>42.2</v>
      </c>
      <c r="M67" s="8">
        <v>36.4</v>
      </c>
      <c r="N67" s="10">
        <f t="shared" si="1"/>
        <v>0.34317343173431714</v>
      </c>
    </row>
    <row r="68" spans="1:14" ht="30" x14ac:dyDescent="0.2">
      <c r="A68" s="6">
        <v>64</v>
      </c>
      <c r="B68" s="7" t="s">
        <v>220</v>
      </c>
      <c r="C68" s="6" t="s">
        <v>221</v>
      </c>
      <c r="D68" s="8">
        <v>64.8</v>
      </c>
      <c r="E68" s="8">
        <v>73.5</v>
      </c>
      <c r="F68" s="8">
        <v>82.2</v>
      </c>
      <c r="G68" s="8">
        <v>84.8</v>
      </c>
      <c r="H68" s="8">
        <v>78.8</v>
      </c>
      <c r="I68" s="8">
        <v>62</v>
      </c>
      <c r="J68" s="8">
        <v>66.2</v>
      </c>
      <c r="K68" s="8">
        <v>99.6</v>
      </c>
      <c r="L68" s="8">
        <v>115.7</v>
      </c>
      <c r="M68" s="8">
        <v>136.69999999999999</v>
      </c>
      <c r="N68" s="10">
        <f t="shared" si="1"/>
        <v>1.1095679012345676</v>
      </c>
    </row>
    <row r="69" spans="1:14" x14ac:dyDescent="0.2">
      <c r="A69" s="6">
        <v>65</v>
      </c>
      <c r="B69" s="7" t="s">
        <v>223</v>
      </c>
      <c r="C69" s="6" t="s">
        <v>224</v>
      </c>
      <c r="D69" s="8">
        <v>12.8</v>
      </c>
      <c r="E69" s="8">
        <v>15.9</v>
      </c>
      <c r="F69" s="8">
        <v>16.600000000000001</v>
      </c>
      <c r="G69" s="8">
        <v>16.399999999999999</v>
      </c>
      <c r="H69" s="8">
        <v>16.600000000000001</v>
      </c>
      <c r="I69" s="8">
        <v>21.5</v>
      </c>
      <c r="J69" s="8">
        <v>20.2</v>
      </c>
      <c r="K69" s="8">
        <v>22.8</v>
      </c>
      <c r="L69" s="8">
        <v>25.5</v>
      </c>
      <c r="M69" s="8">
        <v>30.3</v>
      </c>
      <c r="N69" s="10">
        <f t="shared" ref="N69:N100" si="2">IF(D69=0,"N/A",(M69/D69)-1)</f>
        <v>1.3671875</v>
      </c>
    </row>
    <row r="70" spans="1:14" ht="30" x14ac:dyDescent="0.2">
      <c r="A70" s="6">
        <v>66</v>
      </c>
      <c r="B70" s="7" t="s">
        <v>226</v>
      </c>
      <c r="C70" s="6" t="s">
        <v>227</v>
      </c>
      <c r="D70" s="8">
        <v>2928.4</v>
      </c>
      <c r="E70" s="8">
        <v>2941.8</v>
      </c>
      <c r="F70" s="8">
        <v>3077.6</v>
      </c>
      <c r="G70" s="8">
        <v>3121.9</v>
      </c>
      <c r="H70" s="8">
        <v>2251.1999999999998</v>
      </c>
      <c r="I70" s="8">
        <v>3145</v>
      </c>
      <c r="J70" s="8">
        <v>3394</v>
      </c>
      <c r="K70" s="8">
        <v>3428.7</v>
      </c>
      <c r="L70" s="8">
        <v>3506.1</v>
      </c>
      <c r="M70" s="8">
        <v>3361.2</v>
      </c>
      <c r="N70" s="10">
        <f t="shared" si="2"/>
        <v>0.14779401721076346</v>
      </c>
    </row>
    <row r="71" spans="1:14" x14ac:dyDescent="0.2">
      <c r="A71" s="6">
        <v>67</v>
      </c>
      <c r="B71" s="7" t="s">
        <v>229</v>
      </c>
      <c r="C71" s="6" t="s">
        <v>230</v>
      </c>
      <c r="D71" s="8">
        <v>23.6</v>
      </c>
      <c r="E71" s="8">
        <v>27.2</v>
      </c>
      <c r="F71" s="8">
        <v>30.3</v>
      </c>
      <c r="G71" s="8">
        <v>32.9</v>
      </c>
      <c r="H71" s="8">
        <v>33.1</v>
      </c>
      <c r="I71" s="8">
        <v>38.5</v>
      </c>
      <c r="J71" s="8">
        <v>43.8</v>
      </c>
      <c r="K71" s="8">
        <v>51.7</v>
      </c>
      <c r="L71" s="8">
        <v>59.6</v>
      </c>
      <c r="M71" s="8">
        <v>68.900000000000006</v>
      </c>
      <c r="N71" s="10">
        <f t="shared" si="2"/>
        <v>1.9194915254237288</v>
      </c>
    </row>
    <row r="72" spans="1:14" ht="30" x14ac:dyDescent="0.2">
      <c r="A72" s="6">
        <v>68</v>
      </c>
      <c r="B72" s="7" t="s">
        <v>232</v>
      </c>
      <c r="C72" s="6" t="s">
        <v>233</v>
      </c>
      <c r="D72" s="8">
        <v>202.7</v>
      </c>
      <c r="E72" s="8">
        <v>273.60000000000002</v>
      </c>
      <c r="F72" s="8">
        <v>348.3</v>
      </c>
      <c r="G72" s="8">
        <v>409.2</v>
      </c>
      <c r="H72" s="8">
        <v>288.8</v>
      </c>
      <c r="I72" s="8">
        <v>250.4</v>
      </c>
      <c r="J72" s="8">
        <v>301.2</v>
      </c>
      <c r="K72" s="8">
        <v>409.8</v>
      </c>
      <c r="L72" s="8">
        <v>557.5</v>
      </c>
      <c r="M72" s="8">
        <v>715.8</v>
      </c>
      <c r="N72" s="10">
        <f t="shared" si="2"/>
        <v>2.5313270843611249</v>
      </c>
    </row>
    <row r="73" spans="1:14" x14ac:dyDescent="0.2">
      <c r="A73" s="6">
        <v>69</v>
      </c>
      <c r="B73" s="7" t="s">
        <v>235</v>
      </c>
      <c r="C73" s="6" t="s">
        <v>236</v>
      </c>
      <c r="D73" s="8">
        <v>326.10000000000002</v>
      </c>
      <c r="E73" s="8">
        <v>337.7</v>
      </c>
      <c r="F73" s="8">
        <v>357.6</v>
      </c>
      <c r="G73" s="8">
        <v>461.7</v>
      </c>
      <c r="H73" s="8">
        <v>449</v>
      </c>
      <c r="I73" s="8">
        <v>494.3</v>
      </c>
      <c r="J73" s="8">
        <v>537.79999999999995</v>
      </c>
      <c r="K73" s="8">
        <v>480.8</v>
      </c>
      <c r="L73" s="8">
        <v>432.5</v>
      </c>
      <c r="M73" s="8">
        <v>396.9</v>
      </c>
      <c r="N73" s="10">
        <f t="shared" si="2"/>
        <v>0.21711131554737806</v>
      </c>
    </row>
    <row r="74" spans="1:14" x14ac:dyDescent="0.2">
      <c r="A74" s="6">
        <v>70</v>
      </c>
      <c r="B74" s="7" t="s">
        <v>238</v>
      </c>
      <c r="C74" s="6" t="s">
        <v>239</v>
      </c>
      <c r="D74" s="8">
        <v>874.5</v>
      </c>
      <c r="E74" s="8">
        <v>877</v>
      </c>
      <c r="F74" s="8">
        <v>1157.4000000000001</v>
      </c>
      <c r="G74" s="8">
        <v>1351.4</v>
      </c>
      <c r="H74" s="8">
        <v>1857.5</v>
      </c>
      <c r="I74" s="8">
        <v>2283.5</v>
      </c>
      <c r="J74" s="8">
        <v>2453.1999999999998</v>
      </c>
      <c r="K74" s="8">
        <v>2292.9</v>
      </c>
      <c r="L74" s="8">
        <v>2509.8000000000002</v>
      </c>
      <c r="M74" s="8">
        <v>2150.6</v>
      </c>
      <c r="N74" s="10">
        <f t="shared" si="2"/>
        <v>1.4592338479130933</v>
      </c>
    </row>
    <row r="75" spans="1:14" x14ac:dyDescent="0.2">
      <c r="A75" s="6">
        <v>71</v>
      </c>
      <c r="B75" s="7" t="s">
        <v>241</v>
      </c>
      <c r="C75" s="6" t="s">
        <v>242</v>
      </c>
      <c r="D75" s="8">
        <v>36.1</v>
      </c>
      <c r="E75" s="8">
        <v>39.6</v>
      </c>
      <c r="F75" s="8">
        <v>42.6</v>
      </c>
      <c r="G75" s="8">
        <v>47.2</v>
      </c>
      <c r="H75" s="8">
        <v>50.7</v>
      </c>
      <c r="I75" s="8">
        <v>58</v>
      </c>
      <c r="J75" s="8">
        <v>62.8</v>
      </c>
      <c r="K75" s="8">
        <v>66.2</v>
      </c>
      <c r="L75" s="8">
        <v>73.900000000000006</v>
      </c>
      <c r="M75" s="8">
        <v>85.9</v>
      </c>
      <c r="N75" s="10">
        <f t="shared" si="2"/>
        <v>1.3795013850415514</v>
      </c>
    </row>
    <row r="76" spans="1:14" x14ac:dyDescent="0.2">
      <c r="A76" s="6">
        <v>72</v>
      </c>
      <c r="B76" s="7" t="s">
        <v>244</v>
      </c>
      <c r="C76" s="6" t="s">
        <v>245</v>
      </c>
      <c r="D76" s="8">
        <v>230.4</v>
      </c>
      <c r="E76" s="8">
        <v>262.10000000000002</v>
      </c>
      <c r="F76" s="8">
        <v>294.89999999999998</v>
      </c>
      <c r="G76" s="8">
        <v>342</v>
      </c>
      <c r="H76" s="8">
        <v>363.6</v>
      </c>
      <c r="I76" s="8">
        <v>418</v>
      </c>
      <c r="J76" s="8">
        <v>494.4</v>
      </c>
      <c r="K76" s="8">
        <v>534.20000000000005</v>
      </c>
      <c r="L76" s="8">
        <v>569.6</v>
      </c>
      <c r="M76" s="8">
        <v>624.5</v>
      </c>
      <c r="N76" s="10">
        <f t="shared" si="2"/>
        <v>1.7105034722222223</v>
      </c>
    </row>
    <row r="77" spans="1:14" x14ac:dyDescent="0.2">
      <c r="A77" s="6">
        <v>73</v>
      </c>
      <c r="B77" s="7" t="s">
        <v>247</v>
      </c>
      <c r="C77" s="6" t="s">
        <v>248</v>
      </c>
      <c r="D77" s="8">
        <v>717</v>
      </c>
      <c r="E77" s="8">
        <v>895.3</v>
      </c>
      <c r="F77" s="8">
        <v>1060.5</v>
      </c>
      <c r="G77" s="8">
        <v>1106.7</v>
      </c>
      <c r="H77" s="8">
        <v>1258.0999999999999</v>
      </c>
      <c r="I77" s="8">
        <v>1433</v>
      </c>
      <c r="J77" s="8">
        <v>1449.3</v>
      </c>
      <c r="K77" s="8">
        <v>1498.3</v>
      </c>
      <c r="L77" s="8">
        <v>1718.4</v>
      </c>
      <c r="M77" s="8">
        <v>2074.3000000000002</v>
      </c>
      <c r="N77" s="10">
        <f t="shared" si="2"/>
        <v>1.8930264993026502</v>
      </c>
    </row>
    <row r="78" spans="1:14" x14ac:dyDescent="0.2">
      <c r="A78" s="6">
        <v>74</v>
      </c>
      <c r="B78" s="7" t="s">
        <v>250</v>
      </c>
      <c r="C78" s="6" t="s">
        <v>251</v>
      </c>
      <c r="D78" s="8">
        <v>57.5</v>
      </c>
      <c r="E78" s="8">
        <v>76.099999999999994</v>
      </c>
      <c r="F78" s="8">
        <v>73.2</v>
      </c>
      <c r="G78" s="8">
        <v>77.099999999999994</v>
      </c>
      <c r="H78" s="8">
        <v>71.400000000000006</v>
      </c>
      <c r="I78" s="8">
        <v>75.599999999999994</v>
      </c>
      <c r="J78" s="8">
        <v>66.8</v>
      </c>
      <c r="K78" s="8">
        <v>70.8</v>
      </c>
      <c r="L78" s="8">
        <v>80.7</v>
      </c>
      <c r="M78" s="8">
        <v>63.4</v>
      </c>
      <c r="N78" s="10">
        <f t="shared" si="2"/>
        <v>0.1026086956521739</v>
      </c>
    </row>
    <row r="79" spans="1:14" x14ac:dyDescent="0.2">
      <c r="A79" s="6">
        <v>75</v>
      </c>
      <c r="B79" s="7" t="s">
        <v>253</v>
      </c>
      <c r="C79" s="6" t="s">
        <v>254</v>
      </c>
      <c r="D79" s="8">
        <v>2708.9</v>
      </c>
      <c r="E79" s="8">
        <v>2760.7</v>
      </c>
      <c r="F79" s="8">
        <v>3065.1</v>
      </c>
      <c r="G79" s="8">
        <v>3500.6</v>
      </c>
      <c r="H79" s="8">
        <v>2455</v>
      </c>
      <c r="I79" s="8">
        <v>2983.3</v>
      </c>
      <c r="J79" s="8">
        <v>3377.5</v>
      </c>
      <c r="K79" s="8">
        <v>3081.2</v>
      </c>
      <c r="L79" s="8">
        <v>3050</v>
      </c>
      <c r="M79" s="8">
        <v>2892.7</v>
      </c>
      <c r="N79" s="10">
        <f t="shared" si="2"/>
        <v>6.7850418989257477E-2</v>
      </c>
    </row>
    <row r="80" spans="1:14" x14ac:dyDescent="0.2">
      <c r="A80" s="6">
        <v>76</v>
      </c>
      <c r="B80" s="7" t="s">
        <v>256</v>
      </c>
      <c r="C80" s="6" t="s">
        <v>257</v>
      </c>
      <c r="D80" s="8">
        <v>1062.5999999999999</v>
      </c>
      <c r="E80" s="8">
        <v>1286.8</v>
      </c>
      <c r="F80" s="8">
        <v>1409.8</v>
      </c>
      <c r="G80" s="8">
        <v>1396.6</v>
      </c>
      <c r="H80" s="8">
        <v>1259.3</v>
      </c>
      <c r="I80" s="8">
        <v>1294.5999999999999</v>
      </c>
      <c r="J80" s="8">
        <v>1424.5</v>
      </c>
      <c r="K80" s="8">
        <v>1399.2</v>
      </c>
      <c r="L80" s="8">
        <v>1377.1</v>
      </c>
      <c r="M80" s="8">
        <v>1399.1</v>
      </c>
      <c r="N80" s="10">
        <f t="shared" si="2"/>
        <v>0.31667607754564275</v>
      </c>
    </row>
    <row r="81" spans="1:14" x14ac:dyDescent="0.2">
      <c r="A81" s="6">
        <v>77</v>
      </c>
      <c r="B81" s="7" t="s">
        <v>259</v>
      </c>
      <c r="C81" s="6" t="s">
        <v>260</v>
      </c>
      <c r="D81" s="8">
        <v>565.20000000000005</v>
      </c>
      <c r="E81" s="8">
        <v>549.5</v>
      </c>
      <c r="F81" s="8">
        <v>629.4</v>
      </c>
      <c r="G81" s="8">
        <v>709.4</v>
      </c>
      <c r="H81" s="8">
        <v>519.1</v>
      </c>
      <c r="I81" s="8">
        <v>704.7</v>
      </c>
      <c r="J81" s="8">
        <v>763.6</v>
      </c>
      <c r="K81" s="8">
        <v>687.3</v>
      </c>
      <c r="L81" s="8">
        <v>643.29999999999995</v>
      </c>
      <c r="M81" s="8">
        <v>661.2</v>
      </c>
      <c r="N81" s="10">
        <f t="shared" si="2"/>
        <v>0.16985138004246281</v>
      </c>
    </row>
    <row r="82" spans="1:14" x14ac:dyDescent="0.2">
      <c r="A82" s="6">
        <v>78</v>
      </c>
      <c r="B82" s="7" t="s">
        <v>262</v>
      </c>
      <c r="C82" s="6" t="s">
        <v>263</v>
      </c>
      <c r="D82" s="8">
        <v>3516.3</v>
      </c>
      <c r="E82" s="8">
        <v>4279.8</v>
      </c>
      <c r="F82" s="8">
        <v>4792</v>
      </c>
      <c r="G82" s="8">
        <v>4892</v>
      </c>
      <c r="H82" s="8">
        <v>5446.6</v>
      </c>
      <c r="I82" s="8">
        <v>6913.8</v>
      </c>
      <c r="J82" s="8">
        <v>6967</v>
      </c>
      <c r="K82" s="8">
        <v>6226.5</v>
      </c>
      <c r="L82" s="8">
        <v>6100</v>
      </c>
      <c r="M82" s="8">
        <v>6369.1</v>
      </c>
      <c r="N82" s="10">
        <f t="shared" si="2"/>
        <v>0.8113073401018116</v>
      </c>
    </row>
    <row r="83" spans="1:14" ht="30" x14ac:dyDescent="0.2">
      <c r="A83" s="6">
        <v>79</v>
      </c>
      <c r="B83" s="7" t="s">
        <v>265</v>
      </c>
      <c r="C83" s="6" t="s">
        <v>266</v>
      </c>
      <c r="D83" s="8">
        <v>174.9</v>
      </c>
      <c r="E83" s="8">
        <v>161.69999999999999</v>
      </c>
      <c r="F83" s="8">
        <v>269.5</v>
      </c>
      <c r="G83" s="8">
        <v>284.3</v>
      </c>
      <c r="H83" s="8">
        <v>222.4</v>
      </c>
      <c r="I83" s="8">
        <v>307.5</v>
      </c>
      <c r="J83" s="8">
        <v>377.4</v>
      </c>
      <c r="K83" s="8">
        <v>357.7</v>
      </c>
      <c r="L83" s="8">
        <v>302.39999999999998</v>
      </c>
      <c r="M83" s="8">
        <v>273.8</v>
      </c>
      <c r="N83" s="10">
        <f t="shared" si="2"/>
        <v>0.56546598056032016</v>
      </c>
    </row>
    <row r="84" spans="1:14" x14ac:dyDescent="0.2">
      <c r="A84" s="6">
        <v>80</v>
      </c>
      <c r="B84" s="7" t="s">
        <v>268</v>
      </c>
      <c r="C84" s="6" t="s">
        <v>269</v>
      </c>
      <c r="D84" s="8">
        <v>18.2</v>
      </c>
      <c r="E84" s="8">
        <v>19.2</v>
      </c>
      <c r="F84" s="8">
        <v>21.4</v>
      </c>
      <c r="G84" s="8">
        <v>23.9</v>
      </c>
      <c r="H84" s="8">
        <v>26.5</v>
      </c>
      <c r="I84" s="8">
        <v>29.1</v>
      </c>
      <c r="J84" s="8">
        <v>29.4</v>
      </c>
      <c r="K84" s="8">
        <v>30.3</v>
      </c>
      <c r="L84" s="8">
        <v>29</v>
      </c>
      <c r="M84" s="8">
        <v>31.9</v>
      </c>
      <c r="N84" s="10">
        <f t="shared" si="2"/>
        <v>0.75274725274725274</v>
      </c>
    </row>
    <row r="85" spans="1:14" x14ac:dyDescent="0.2">
      <c r="A85" s="6">
        <v>81</v>
      </c>
      <c r="B85" s="7" t="s">
        <v>271</v>
      </c>
      <c r="C85" s="6" t="s">
        <v>272</v>
      </c>
      <c r="D85" s="8">
        <v>12.2</v>
      </c>
      <c r="E85" s="8">
        <v>13.1</v>
      </c>
      <c r="F85" s="8">
        <v>14.3</v>
      </c>
      <c r="G85" s="8">
        <v>14.9</v>
      </c>
      <c r="H85" s="8">
        <v>15.3</v>
      </c>
      <c r="I85" s="8">
        <v>19.600000000000001</v>
      </c>
      <c r="J85" s="8">
        <v>21.6</v>
      </c>
      <c r="K85" s="8">
        <v>23.7</v>
      </c>
      <c r="L85" s="8">
        <v>24.7</v>
      </c>
      <c r="M85" s="8">
        <v>25.8</v>
      </c>
      <c r="N85" s="10">
        <f t="shared" si="2"/>
        <v>1.1147540983606561</v>
      </c>
    </row>
    <row r="86" spans="1:14" x14ac:dyDescent="0.2">
      <c r="A86" s="6">
        <v>82</v>
      </c>
      <c r="B86" s="7" t="s">
        <v>274</v>
      </c>
      <c r="C86" s="6" t="s">
        <v>275</v>
      </c>
      <c r="D86" s="8">
        <v>15.8</v>
      </c>
      <c r="E86" s="8">
        <v>17.8</v>
      </c>
      <c r="F86" s="8">
        <v>21.5</v>
      </c>
      <c r="G86" s="8">
        <v>21.7</v>
      </c>
      <c r="H86" s="8">
        <v>28.1</v>
      </c>
      <c r="I86" s="8">
        <v>33.200000000000003</v>
      </c>
      <c r="J86" s="8">
        <v>37</v>
      </c>
      <c r="K86" s="8">
        <v>36.9</v>
      </c>
      <c r="L86" s="8">
        <v>37.200000000000003</v>
      </c>
      <c r="M86" s="8">
        <v>41.3</v>
      </c>
      <c r="N86" s="10">
        <f t="shared" si="2"/>
        <v>1.6139240506329111</v>
      </c>
    </row>
    <row r="87" spans="1:14" x14ac:dyDescent="0.2">
      <c r="A87" s="6">
        <v>83</v>
      </c>
      <c r="B87" s="7" t="s">
        <v>277</v>
      </c>
      <c r="C87" s="6" t="s">
        <v>278</v>
      </c>
      <c r="D87" s="8">
        <v>22.4</v>
      </c>
      <c r="E87" s="8">
        <v>26.9</v>
      </c>
      <c r="F87" s="8">
        <v>26</v>
      </c>
      <c r="G87" s="8">
        <v>28.4</v>
      </c>
      <c r="H87" s="8">
        <v>25.3</v>
      </c>
      <c r="I87" s="8">
        <v>34.5</v>
      </c>
      <c r="J87" s="8">
        <v>68.5</v>
      </c>
      <c r="K87" s="8">
        <v>37.4</v>
      </c>
      <c r="L87" s="8">
        <v>31.1</v>
      </c>
      <c r="M87" s="8">
        <v>45.7</v>
      </c>
      <c r="N87" s="10">
        <f t="shared" si="2"/>
        <v>1.0401785714285716</v>
      </c>
    </row>
    <row r="88" spans="1:14" ht="30" x14ac:dyDescent="0.2">
      <c r="A88" s="6">
        <v>84</v>
      </c>
      <c r="B88" s="7" t="s">
        <v>280</v>
      </c>
      <c r="C88" s="6" t="s">
        <v>281</v>
      </c>
      <c r="D88" s="8">
        <v>1072.8</v>
      </c>
      <c r="E88" s="8">
        <v>1216.7</v>
      </c>
      <c r="F88" s="8">
        <v>1461.7</v>
      </c>
      <c r="G88" s="8">
        <v>1512</v>
      </c>
      <c r="H88" s="8">
        <v>1391.1</v>
      </c>
      <c r="I88" s="8">
        <v>1751</v>
      </c>
      <c r="J88" s="8">
        <v>2015.5</v>
      </c>
      <c r="K88" s="8">
        <v>1662.1</v>
      </c>
      <c r="L88" s="8">
        <v>1846</v>
      </c>
      <c r="M88" s="8">
        <v>1558.4</v>
      </c>
      <c r="N88" s="10">
        <f t="shared" si="2"/>
        <v>0.4526472781506341</v>
      </c>
    </row>
    <row r="89" spans="1:14" x14ac:dyDescent="0.2">
      <c r="A89" s="6">
        <v>85</v>
      </c>
      <c r="B89" s="7" t="s">
        <v>283</v>
      </c>
      <c r="C89" s="6" t="s">
        <v>284</v>
      </c>
      <c r="D89" s="8">
        <v>8.83</v>
      </c>
      <c r="E89" s="8">
        <v>10.1</v>
      </c>
      <c r="F89" s="8">
        <v>10.7</v>
      </c>
      <c r="G89" s="8">
        <v>9.24</v>
      </c>
      <c r="H89" s="8">
        <v>8.75</v>
      </c>
      <c r="I89" s="8">
        <v>10.7</v>
      </c>
      <c r="J89" s="8">
        <v>19.5</v>
      </c>
      <c r="K89" s="8">
        <v>20.7</v>
      </c>
      <c r="L89" s="8">
        <v>23.8</v>
      </c>
      <c r="M89" s="8">
        <v>28.9</v>
      </c>
      <c r="N89" s="10">
        <f t="shared" si="2"/>
        <v>2.2729331823329555</v>
      </c>
    </row>
    <row r="90" spans="1:14" x14ac:dyDescent="0.2">
      <c r="A90" s="6">
        <v>86</v>
      </c>
      <c r="B90" s="7" t="s">
        <v>286</v>
      </c>
      <c r="C90" s="6" t="s">
        <v>287</v>
      </c>
      <c r="D90" s="8">
        <v>29.7</v>
      </c>
      <c r="E90" s="8">
        <v>40.1</v>
      </c>
      <c r="F90" s="8">
        <v>22.7</v>
      </c>
      <c r="G90" s="8">
        <v>22.5</v>
      </c>
      <c r="H90" s="8">
        <v>21.6</v>
      </c>
      <c r="I90" s="8">
        <v>21.9</v>
      </c>
      <c r="J90" s="8">
        <v>20.7</v>
      </c>
      <c r="K90" s="8">
        <v>21.2</v>
      </c>
      <c r="L90" s="8">
        <v>33.4</v>
      </c>
      <c r="M90" s="8">
        <v>50.5</v>
      </c>
      <c r="N90" s="10">
        <f t="shared" si="2"/>
        <v>0.70033670033670048</v>
      </c>
    </row>
    <row r="91" spans="1:14" ht="30" x14ac:dyDescent="0.2">
      <c r="A91" s="6">
        <v>87</v>
      </c>
      <c r="B91" s="7" t="s">
        <v>289</v>
      </c>
      <c r="C91" s="6" t="s">
        <v>290</v>
      </c>
      <c r="D91" s="8">
        <v>11.6</v>
      </c>
      <c r="E91" s="8">
        <v>15.4</v>
      </c>
      <c r="F91" s="8">
        <v>17.8</v>
      </c>
      <c r="G91" s="8">
        <v>20.8</v>
      </c>
      <c r="H91" s="8">
        <v>20.100000000000001</v>
      </c>
      <c r="I91" s="8">
        <v>21.9</v>
      </c>
      <c r="J91" s="8">
        <v>24.8</v>
      </c>
      <c r="K91" s="8">
        <v>25.1</v>
      </c>
      <c r="L91" s="8">
        <v>25.7</v>
      </c>
      <c r="M91" s="8">
        <v>24.9</v>
      </c>
      <c r="N91" s="10">
        <f t="shared" si="2"/>
        <v>1.146551724137931</v>
      </c>
    </row>
    <row r="92" spans="1:14" x14ac:dyDescent="0.2">
      <c r="A92" s="6">
        <v>88</v>
      </c>
      <c r="B92" s="7" t="s">
        <v>292</v>
      </c>
      <c r="C92" s="6" t="s">
        <v>293</v>
      </c>
      <c r="D92" s="8">
        <v>100.9</v>
      </c>
      <c r="E92" s="8">
        <v>126.1</v>
      </c>
      <c r="F92" s="8">
        <v>147.6</v>
      </c>
      <c r="G92" s="8">
        <v>162.9</v>
      </c>
      <c r="H92" s="8">
        <v>148.6</v>
      </c>
      <c r="I92" s="8">
        <v>191.1</v>
      </c>
      <c r="J92" s="8">
        <v>242</v>
      </c>
      <c r="K92" s="8">
        <v>275.60000000000002</v>
      </c>
      <c r="L92" s="8">
        <v>267.2</v>
      </c>
      <c r="M92" s="8">
        <v>281.2</v>
      </c>
      <c r="N92" s="10">
        <f t="shared" si="2"/>
        <v>1.7869177403369672</v>
      </c>
    </row>
    <row r="93" spans="1:14" x14ac:dyDescent="0.2">
      <c r="A93" s="6">
        <v>89</v>
      </c>
      <c r="B93" s="7" t="s">
        <v>295</v>
      </c>
      <c r="C93" s="6" t="s">
        <v>296</v>
      </c>
      <c r="D93" s="8">
        <v>110.5</v>
      </c>
      <c r="E93" s="8">
        <v>192.2</v>
      </c>
      <c r="F93" s="8">
        <v>232.4</v>
      </c>
      <c r="G93" s="8">
        <v>269.60000000000002</v>
      </c>
      <c r="H93" s="8">
        <v>193.4</v>
      </c>
      <c r="I93" s="8">
        <v>268.60000000000002</v>
      </c>
      <c r="J93" s="8">
        <v>395.8</v>
      </c>
      <c r="K93" s="8">
        <v>497</v>
      </c>
      <c r="L93" s="8">
        <v>458.5</v>
      </c>
      <c r="M93" s="8">
        <v>517.5</v>
      </c>
      <c r="N93" s="10">
        <f t="shared" si="2"/>
        <v>3.6832579185520364</v>
      </c>
    </row>
    <row r="94" spans="1:14" x14ac:dyDescent="0.2">
      <c r="A94" s="6">
        <v>90</v>
      </c>
      <c r="B94" s="7" t="s">
        <v>298</v>
      </c>
      <c r="C94" s="6" t="s">
        <v>299</v>
      </c>
      <c r="D94" s="8">
        <v>260.89999999999998</v>
      </c>
      <c r="E94" s="8">
        <v>266.10000000000002</v>
      </c>
      <c r="F94" s="8">
        <v>266.5</v>
      </c>
      <c r="G94" s="8">
        <v>283.10000000000002</v>
      </c>
      <c r="H94" s="8">
        <v>291.7</v>
      </c>
      <c r="I94" s="8">
        <v>324.10000000000002</v>
      </c>
      <c r="J94" s="8">
        <v>379.1</v>
      </c>
      <c r="K94" s="8">
        <v>429.9</v>
      </c>
      <c r="L94" s="8">
        <v>465.3</v>
      </c>
      <c r="M94" s="8">
        <v>478.9</v>
      </c>
      <c r="N94" s="10">
        <f t="shared" si="2"/>
        <v>0.83556918359524723</v>
      </c>
    </row>
    <row r="95" spans="1:14" x14ac:dyDescent="0.2">
      <c r="A95" s="6">
        <v>91</v>
      </c>
      <c r="B95" s="7" t="s">
        <v>301</v>
      </c>
      <c r="C95" s="6" t="s">
        <v>302</v>
      </c>
      <c r="D95" s="8">
        <v>5.74</v>
      </c>
      <c r="E95" s="8">
        <v>6.72</v>
      </c>
      <c r="F95" s="8">
        <v>6.47</v>
      </c>
      <c r="G95" s="8">
        <v>6.7</v>
      </c>
      <c r="H95" s="8">
        <v>8.02</v>
      </c>
      <c r="I95" s="8">
        <v>8.6300000000000008</v>
      </c>
      <c r="J95" s="8">
        <v>7.62</v>
      </c>
      <c r="K95" s="8">
        <v>7.28</v>
      </c>
      <c r="L95" s="8">
        <v>6.79</v>
      </c>
      <c r="M95" s="8">
        <v>11.1</v>
      </c>
      <c r="N95" s="10">
        <f t="shared" si="2"/>
        <v>0.93379790940766538</v>
      </c>
    </row>
    <row r="96" spans="1:14" ht="30" x14ac:dyDescent="0.2">
      <c r="A96" s="6">
        <v>92</v>
      </c>
      <c r="B96" s="7" t="s">
        <v>304</v>
      </c>
      <c r="C96" s="6" t="s">
        <v>305</v>
      </c>
      <c r="D96" s="8">
        <v>158.69999999999999</v>
      </c>
      <c r="E96" s="8">
        <v>233.3</v>
      </c>
      <c r="F96" s="8">
        <v>300.5</v>
      </c>
      <c r="G96" s="8">
        <v>554.4</v>
      </c>
      <c r="H96" s="8">
        <v>391.2</v>
      </c>
      <c r="I96" s="8">
        <v>516.9</v>
      </c>
      <c r="J96" s="8">
        <v>568.6</v>
      </c>
      <c r="K96" s="8">
        <v>730.5</v>
      </c>
      <c r="L96" s="8">
        <v>810.2</v>
      </c>
      <c r="M96" s="8">
        <v>936.7</v>
      </c>
      <c r="N96" s="10">
        <f t="shared" si="2"/>
        <v>4.902331442974166</v>
      </c>
    </row>
    <row r="97" spans="1:14" x14ac:dyDescent="0.2">
      <c r="A97" s="6">
        <v>93</v>
      </c>
      <c r="B97" s="7" t="s">
        <v>307</v>
      </c>
      <c r="C97" s="6" t="s">
        <v>308</v>
      </c>
      <c r="D97" s="8">
        <v>47.8</v>
      </c>
      <c r="E97" s="8">
        <v>51.6</v>
      </c>
      <c r="F97" s="8">
        <v>56</v>
      </c>
      <c r="G97" s="8">
        <v>61.5</v>
      </c>
      <c r="H97" s="8">
        <v>64.599999999999994</v>
      </c>
      <c r="I97" s="8">
        <v>72.599999999999994</v>
      </c>
      <c r="J97" s="8">
        <v>72.7</v>
      </c>
      <c r="K97" s="8">
        <v>77</v>
      </c>
      <c r="L97" s="8">
        <v>81.8</v>
      </c>
      <c r="M97" s="8">
        <v>87.4</v>
      </c>
      <c r="N97" s="10">
        <f t="shared" si="2"/>
        <v>0.82845188284518856</v>
      </c>
    </row>
    <row r="98" spans="1:14" x14ac:dyDescent="0.2">
      <c r="A98" s="6">
        <v>94</v>
      </c>
      <c r="B98" s="7" t="s">
        <v>310</v>
      </c>
      <c r="C98" s="6" t="s">
        <v>311</v>
      </c>
      <c r="D98" s="8">
        <v>380.1</v>
      </c>
      <c r="E98" s="8">
        <v>401.7</v>
      </c>
      <c r="F98" s="8">
        <v>435.8</v>
      </c>
      <c r="G98" s="8">
        <v>442.3</v>
      </c>
      <c r="H98" s="8">
        <v>426.1</v>
      </c>
      <c r="I98" s="8">
        <v>454.4</v>
      </c>
      <c r="J98" s="8">
        <v>470</v>
      </c>
      <c r="K98" s="8">
        <v>468.7</v>
      </c>
      <c r="L98" s="8">
        <v>473</v>
      </c>
      <c r="M98" s="8">
        <v>490</v>
      </c>
      <c r="N98" s="10">
        <f t="shared" si="2"/>
        <v>0.28913443830570884</v>
      </c>
    </row>
    <row r="99" spans="1:14" x14ac:dyDescent="0.2">
      <c r="A99" s="6">
        <v>95</v>
      </c>
      <c r="B99" s="7" t="s">
        <v>313</v>
      </c>
      <c r="C99" s="6" t="s">
        <v>314</v>
      </c>
      <c r="D99" s="8">
        <v>241.3</v>
      </c>
      <c r="E99" s="8">
        <v>267.3</v>
      </c>
      <c r="F99" s="8">
        <v>298.60000000000002</v>
      </c>
      <c r="G99" s="8">
        <v>292.10000000000002</v>
      </c>
      <c r="H99" s="8">
        <v>239.8</v>
      </c>
      <c r="I99" s="8">
        <v>298</v>
      </c>
      <c r="J99" s="8">
        <v>381</v>
      </c>
      <c r="K99" s="8">
        <v>383.7</v>
      </c>
      <c r="L99" s="8">
        <v>236.6</v>
      </c>
      <c r="M99" s="8">
        <v>244.4</v>
      </c>
      <c r="N99" s="10">
        <f t="shared" si="2"/>
        <v>1.2847078325735506E-2</v>
      </c>
    </row>
    <row r="100" spans="1:14" x14ac:dyDescent="0.2">
      <c r="A100" s="6">
        <v>96</v>
      </c>
      <c r="B100" s="7" t="s">
        <v>316</v>
      </c>
      <c r="C100" s="6" t="s">
        <v>317</v>
      </c>
      <c r="D100" s="8">
        <v>256.5</v>
      </c>
      <c r="E100" s="8">
        <v>284.2</v>
      </c>
      <c r="F100" s="8">
        <v>279.8</v>
      </c>
      <c r="G100" s="8">
        <v>293</v>
      </c>
      <c r="H100" s="8">
        <v>310.8</v>
      </c>
      <c r="I100" s="8">
        <v>295.7</v>
      </c>
      <c r="J100" s="8">
        <v>283.2</v>
      </c>
      <c r="K100" s="8">
        <v>286.7</v>
      </c>
      <c r="L100" s="8">
        <v>277.39999999999998</v>
      </c>
      <c r="M100" s="8">
        <v>283.7</v>
      </c>
      <c r="N100" s="10">
        <f t="shared" si="2"/>
        <v>0.10604288499025327</v>
      </c>
    </row>
    <row r="101" spans="1:14" x14ac:dyDescent="0.2">
      <c r="A101" s="6">
        <v>97</v>
      </c>
      <c r="B101" s="7" t="s">
        <v>319</v>
      </c>
      <c r="C101" s="6" t="s">
        <v>320</v>
      </c>
      <c r="D101" s="8">
        <v>45.8</v>
      </c>
      <c r="E101" s="8">
        <v>52.5</v>
      </c>
      <c r="F101" s="8">
        <v>60.4</v>
      </c>
      <c r="G101" s="8">
        <v>65</v>
      </c>
      <c r="H101" s="8">
        <v>70.400000000000006</v>
      </c>
      <c r="I101" s="8">
        <v>88.9</v>
      </c>
      <c r="J101" s="8">
        <v>93.9</v>
      </c>
      <c r="K101" s="8">
        <v>100</v>
      </c>
      <c r="L101" s="8">
        <v>103.1</v>
      </c>
      <c r="M101" s="8">
        <v>127.9</v>
      </c>
      <c r="N101" s="10">
        <f t="shared" ref="N101:N132" si="3">IF(D101=0,"N/A",(M101/D101)-1)</f>
        <v>1.7925764192139741</v>
      </c>
    </row>
    <row r="102" spans="1:14" x14ac:dyDescent="0.2">
      <c r="A102" s="6">
        <v>98</v>
      </c>
      <c r="B102" s="7" t="s">
        <v>322</v>
      </c>
      <c r="C102" s="6" t="s">
        <v>323</v>
      </c>
      <c r="D102" s="8">
        <v>26.2</v>
      </c>
      <c r="E102" s="8">
        <v>28.1</v>
      </c>
      <c r="F102" s="8">
        <v>29.1</v>
      </c>
      <c r="G102" s="8">
        <v>31</v>
      </c>
      <c r="H102" s="8">
        <v>31.2</v>
      </c>
      <c r="I102" s="8">
        <v>36.9</v>
      </c>
      <c r="J102" s="8">
        <v>40.6</v>
      </c>
      <c r="K102" s="8">
        <v>39.799999999999997</v>
      </c>
      <c r="L102" s="8">
        <v>43.9</v>
      </c>
      <c r="M102" s="8">
        <v>50.3</v>
      </c>
      <c r="N102" s="10">
        <f t="shared" si="3"/>
        <v>0.91984732824427473</v>
      </c>
    </row>
    <row r="103" spans="1:14" x14ac:dyDescent="0.2">
      <c r="A103" s="6">
        <v>99</v>
      </c>
      <c r="B103" s="7" t="s">
        <v>325</v>
      </c>
      <c r="C103" s="6" t="s">
        <v>326</v>
      </c>
      <c r="D103" s="8"/>
      <c r="E103" s="8">
        <v>18</v>
      </c>
      <c r="F103" s="8">
        <v>21.8</v>
      </c>
      <c r="G103" s="8">
        <v>26.1</v>
      </c>
      <c r="H103" s="8">
        <v>38</v>
      </c>
      <c r="I103" s="8">
        <v>44.1</v>
      </c>
      <c r="J103" s="8">
        <v>44.3</v>
      </c>
      <c r="K103" s="8">
        <v>46.4</v>
      </c>
      <c r="L103" s="8">
        <v>55.6</v>
      </c>
      <c r="M103" s="8">
        <v>56.8</v>
      </c>
      <c r="N103" s="10" t="str">
        <f t="shared" si="3"/>
        <v>N/A</v>
      </c>
    </row>
    <row r="104" spans="1:14" x14ac:dyDescent="0.2">
      <c r="A104" s="6">
        <v>100</v>
      </c>
      <c r="B104" s="7" t="s">
        <v>328</v>
      </c>
      <c r="C104" s="6" t="s">
        <v>329</v>
      </c>
      <c r="D104" s="8">
        <v>68.2</v>
      </c>
      <c r="E104" s="8">
        <v>47.8</v>
      </c>
      <c r="F104" s="8">
        <v>67.8</v>
      </c>
      <c r="G104" s="8">
        <v>66.5</v>
      </c>
      <c r="H104" s="8">
        <v>83.7</v>
      </c>
      <c r="I104" s="8">
        <v>113.1</v>
      </c>
      <c r="J104" s="8">
        <v>192.5</v>
      </c>
      <c r="K104" s="8">
        <v>209.9</v>
      </c>
      <c r="L104" s="8">
        <v>222.9</v>
      </c>
      <c r="M104" s="8">
        <v>202.4</v>
      </c>
      <c r="N104" s="10">
        <f t="shared" si="3"/>
        <v>1.967741935483871</v>
      </c>
    </row>
    <row r="105" spans="1:14" x14ac:dyDescent="0.2">
      <c r="A105" s="6">
        <v>101</v>
      </c>
      <c r="B105" s="7" t="s">
        <v>331</v>
      </c>
      <c r="C105" s="6" t="s">
        <v>332</v>
      </c>
      <c r="D105" s="8">
        <v>14</v>
      </c>
      <c r="E105" s="8">
        <v>14.8</v>
      </c>
      <c r="F105" s="8">
        <v>15.5</v>
      </c>
      <c r="G105" s="8">
        <v>16.8</v>
      </c>
      <c r="H105" s="8">
        <v>17.100000000000001</v>
      </c>
      <c r="I105" s="8">
        <v>17.7</v>
      </c>
      <c r="J105" s="8">
        <v>19.3</v>
      </c>
      <c r="K105" s="8">
        <v>23.3</v>
      </c>
      <c r="L105" s="8">
        <v>24.8</v>
      </c>
      <c r="M105" s="8">
        <v>25.7</v>
      </c>
      <c r="N105" s="10">
        <f t="shared" si="3"/>
        <v>0.83571428571428563</v>
      </c>
    </row>
    <row r="106" spans="1:14" x14ac:dyDescent="0.2">
      <c r="A106" s="6">
        <v>102</v>
      </c>
      <c r="B106" s="7" t="s">
        <v>334</v>
      </c>
      <c r="C106" s="6" t="s">
        <v>335</v>
      </c>
      <c r="D106" s="8">
        <v>1364.3</v>
      </c>
      <c r="E106" s="8">
        <v>1729</v>
      </c>
      <c r="F106" s="8">
        <v>1661.9</v>
      </c>
      <c r="G106" s="8">
        <v>1731.1</v>
      </c>
      <c r="H106" s="8">
        <v>1638.8</v>
      </c>
      <c r="I106" s="8">
        <v>1939.4</v>
      </c>
      <c r="J106" s="8">
        <v>1930.2</v>
      </c>
      <c r="K106" s="8">
        <v>1666.5</v>
      </c>
      <c r="L106" s="8">
        <v>1887.1</v>
      </c>
      <c r="M106" s="8">
        <v>1859.4</v>
      </c>
      <c r="N106" s="10">
        <f t="shared" si="3"/>
        <v>0.36289672359451752</v>
      </c>
    </row>
    <row r="107" spans="1:14" x14ac:dyDescent="0.2">
      <c r="A107" s="6">
        <v>103</v>
      </c>
      <c r="B107" s="7" t="s">
        <v>337</v>
      </c>
      <c r="C107" s="6" t="s">
        <v>338</v>
      </c>
      <c r="D107" s="8">
        <v>12.2</v>
      </c>
      <c r="E107" s="8">
        <v>13.5</v>
      </c>
      <c r="F107" s="8">
        <v>13</v>
      </c>
      <c r="G107" s="8">
        <v>10.9</v>
      </c>
      <c r="H107" s="8">
        <v>13.4</v>
      </c>
      <c r="I107" s="8">
        <v>16.2</v>
      </c>
      <c r="J107" s="8">
        <v>17.8</v>
      </c>
      <c r="K107" s="8">
        <v>22</v>
      </c>
      <c r="L107" s="8">
        <v>31.4</v>
      </c>
      <c r="M107" s="8">
        <v>61.4</v>
      </c>
      <c r="N107" s="10">
        <f t="shared" si="3"/>
        <v>4.0327868852459021</v>
      </c>
    </row>
    <row r="108" spans="1:14" x14ac:dyDescent="0.2">
      <c r="A108" s="6">
        <v>104</v>
      </c>
      <c r="B108" s="7" t="s">
        <v>340</v>
      </c>
      <c r="C108" s="6" t="s">
        <v>341</v>
      </c>
      <c r="D108" s="8">
        <v>1006.3</v>
      </c>
      <c r="E108" s="8">
        <v>1751.8</v>
      </c>
      <c r="F108" s="8">
        <v>2060.5</v>
      </c>
      <c r="G108" s="8">
        <v>2080.5</v>
      </c>
      <c r="H108" s="8">
        <v>2560.1999999999998</v>
      </c>
      <c r="I108" s="8">
        <v>3992.4</v>
      </c>
      <c r="J108" s="8">
        <v>4754.2</v>
      </c>
      <c r="K108" s="8">
        <v>3301.5</v>
      </c>
      <c r="L108" s="8">
        <v>2836.1</v>
      </c>
      <c r="M108" s="8">
        <v>2875.3</v>
      </c>
      <c r="N108" s="10">
        <f t="shared" si="3"/>
        <v>1.857299016197953</v>
      </c>
    </row>
    <row r="109" spans="1:14" x14ac:dyDescent="0.2">
      <c r="A109" s="6">
        <v>105</v>
      </c>
      <c r="B109" s="7" t="s">
        <v>343</v>
      </c>
      <c r="C109" s="6" t="s">
        <v>344</v>
      </c>
      <c r="D109" s="8">
        <v>695.2</v>
      </c>
      <c r="E109" s="8">
        <v>755.2</v>
      </c>
      <c r="F109" s="8">
        <v>769.6</v>
      </c>
      <c r="G109" s="8">
        <v>781.9</v>
      </c>
      <c r="H109" s="8">
        <v>783.3</v>
      </c>
      <c r="I109" s="8">
        <v>991.6</v>
      </c>
      <c r="J109" s="8">
        <v>795</v>
      </c>
      <c r="K109" s="8">
        <v>747.9</v>
      </c>
      <c r="L109" s="8">
        <v>753.1</v>
      </c>
      <c r="M109" s="8">
        <v>820</v>
      </c>
      <c r="N109" s="10">
        <f t="shared" si="3"/>
        <v>0.17951668584579972</v>
      </c>
    </row>
    <row r="110" spans="1:14" x14ac:dyDescent="0.2">
      <c r="A110" s="6">
        <v>106</v>
      </c>
      <c r="B110" s="7" t="s">
        <v>346</v>
      </c>
      <c r="C110" s="6" t="s">
        <v>347</v>
      </c>
      <c r="D110" s="8">
        <v>213.6</v>
      </c>
      <c r="E110" s="8">
        <v>236.5</v>
      </c>
      <c r="F110" s="8">
        <v>233.1</v>
      </c>
      <c r="G110" s="8">
        <v>257.60000000000002</v>
      </c>
      <c r="H110" s="8">
        <v>384</v>
      </c>
      <c r="I110" s="8">
        <v>356.7</v>
      </c>
      <c r="J110" s="8">
        <v>330.2</v>
      </c>
      <c r="K110" s="8">
        <v>322.5</v>
      </c>
      <c r="L110" s="8">
        <v>283.39999999999998</v>
      </c>
      <c r="M110" s="8">
        <v>313.7</v>
      </c>
      <c r="N110" s="10">
        <f t="shared" si="3"/>
        <v>0.46863295880149813</v>
      </c>
    </row>
    <row r="111" spans="1:14" x14ac:dyDescent="0.2">
      <c r="A111" s="6">
        <v>107</v>
      </c>
      <c r="B111" s="7" t="s">
        <v>349</v>
      </c>
      <c r="C111" s="6" t="s">
        <v>350</v>
      </c>
      <c r="D111" s="8">
        <v>34.200000000000003</v>
      </c>
      <c r="E111" s="8">
        <v>35.299999999999997</v>
      </c>
      <c r="F111" s="8">
        <v>36</v>
      </c>
      <c r="G111" s="8">
        <v>37.9</v>
      </c>
      <c r="H111" s="8">
        <v>41.1</v>
      </c>
      <c r="I111" s="8">
        <v>40</v>
      </c>
      <c r="J111" s="8">
        <v>40.4</v>
      </c>
      <c r="K111" s="8">
        <v>39</v>
      </c>
      <c r="L111" s="8">
        <v>35.9</v>
      </c>
      <c r="M111" s="8">
        <v>34.5</v>
      </c>
      <c r="N111" s="10">
        <f t="shared" si="3"/>
        <v>8.7719298245612087E-3</v>
      </c>
    </row>
    <row r="112" spans="1:14" x14ac:dyDescent="0.2">
      <c r="A112" s="6">
        <v>108</v>
      </c>
      <c r="B112" s="7" t="s">
        <v>352</v>
      </c>
      <c r="C112" s="6" t="s">
        <v>353</v>
      </c>
      <c r="D112" s="8">
        <v>442.2</v>
      </c>
      <c r="E112" s="8">
        <v>513.4</v>
      </c>
      <c r="F112" s="8">
        <v>532.1</v>
      </c>
      <c r="G112" s="8">
        <v>586</v>
      </c>
      <c r="H112" s="8">
        <v>631.79999999999995</v>
      </c>
      <c r="I112" s="8">
        <v>739.5</v>
      </c>
      <c r="J112" s="8">
        <v>768.2</v>
      </c>
      <c r="K112" s="8">
        <v>624.20000000000005</v>
      </c>
      <c r="L112" s="8">
        <v>561.9</v>
      </c>
      <c r="M112" s="8">
        <v>625.70000000000005</v>
      </c>
      <c r="N112" s="10">
        <f t="shared" si="3"/>
        <v>0.41497060153776588</v>
      </c>
    </row>
    <row r="113" spans="1:14" x14ac:dyDescent="0.2">
      <c r="A113" s="6">
        <v>109</v>
      </c>
      <c r="B113" s="7" t="s">
        <v>355</v>
      </c>
      <c r="C113" s="6" t="s">
        <v>356</v>
      </c>
      <c r="D113" s="8">
        <v>26.9</v>
      </c>
      <c r="E113" s="8">
        <v>28.5</v>
      </c>
      <c r="F113" s="8">
        <v>27.5</v>
      </c>
      <c r="G113" s="8">
        <v>26.9</v>
      </c>
      <c r="H113" s="8">
        <v>25</v>
      </c>
      <c r="I113" s="8">
        <v>24.6</v>
      </c>
      <c r="J113" s="8">
        <v>25.9</v>
      </c>
      <c r="K113" s="8">
        <v>29.2</v>
      </c>
      <c r="L113" s="8">
        <v>29.6</v>
      </c>
      <c r="M113" s="8">
        <v>29.1</v>
      </c>
      <c r="N113" s="10">
        <f t="shared" si="3"/>
        <v>8.1784386617100413E-2</v>
      </c>
    </row>
    <row r="114" spans="1:14" x14ac:dyDescent="0.2">
      <c r="A114" s="6">
        <v>110</v>
      </c>
      <c r="B114" s="7" t="s">
        <v>358</v>
      </c>
      <c r="C114" s="6" t="s">
        <v>359</v>
      </c>
      <c r="D114" s="8">
        <v>2386.4</v>
      </c>
      <c r="E114" s="8">
        <v>2806.9</v>
      </c>
      <c r="F114" s="8">
        <v>3076.2</v>
      </c>
      <c r="G114" s="8">
        <v>3160.5</v>
      </c>
      <c r="H114" s="8">
        <v>2055.1</v>
      </c>
      <c r="I114" s="8">
        <v>2766.5</v>
      </c>
      <c r="J114" s="8">
        <v>3226.7</v>
      </c>
      <c r="K114" s="8">
        <v>3098.2</v>
      </c>
      <c r="L114" s="8">
        <v>3180.8</v>
      </c>
      <c r="M114" s="8">
        <v>2957</v>
      </c>
      <c r="N114" s="10">
        <f t="shared" si="3"/>
        <v>0.23910492792490778</v>
      </c>
    </row>
    <row r="115" spans="1:14" x14ac:dyDescent="0.2">
      <c r="A115" s="6">
        <v>111</v>
      </c>
      <c r="B115" s="7" t="s">
        <v>361</v>
      </c>
      <c r="C115" s="6" t="s">
        <v>362</v>
      </c>
      <c r="D115" s="8">
        <v>20.100000000000001</v>
      </c>
      <c r="E115" s="8">
        <v>31.9</v>
      </c>
      <c r="F115" s="8">
        <v>36</v>
      </c>
      <c r="G115" s="8">
        <v>41.2</v>
      </c>
      <c r="H115" s="8">
        <v>30.4</v>
      </c>
      <c r="I115" s="8">
        <v>25.9</v>
      </c>
      <c r="J115" s="8">
        <v>38.700000000000003</v>
      </c>
      <c r="K115" s="8">
        <v>52.8</v>
      </c>
      <c r="L115" s="8">
        <v>53.9</v>
      </c>
      <c r="M115" s="8">
        <v>61.1</v>
      </c>
      <c r="N115" s="10">
        <f t="shared" si="3"/>
        <v>2.0398009950248754</v>
      </c>
    </row>
    <row r="116" spans="1:14" x14ac:dyDescent="0.2">
      <c r="A116" s="6">
        <v>112</v>
      </c>
      <c r="B116" s="7" t="s">
        <v>364</v>
      </c>
      <c r="C116" s="6" t="s">
        <v>365</v>
      </c>
      <c r="D116" s="8">
        <v>171.7</v>
      </c>
      <c r="E116" s="8">
        <v>177.3</v>
      </c>
      <c r="F116" s="8">
        <v>175.8</v>
      </c>
      <c r="G116" s="8">
        <v>180.5</v>
      </c>
      <c r="H116" s="8">
        <v>273.60000000000002</v>
      </c>
      <c r="I116" s="8">
        <v>313.60000000000002</v>
      </c>
      <c r="J116" s="8">
        <v>313.8</v>
      </c>
      <c r="K116" s="8">
        <v>263.60000000000002</v>
      </c>
      <c r="L116" s="8">
        <v>251.5</v>
      </c>
      <c r="M116" s="8">
        <v>240.2</v>
      </c>
      <c r="N116" s="10">
        <f t="shared" si="3"/>
        <v>0.39895165987186965</v>
      </c>
    </row>
    <row r="117" spans="1:14" ht="30" x14ac:dyDescent="0.2">
      <c r="A117" s="6">
        <v>113</v>
      </c>
      <c r="B117" s="7" t="s">
        <v>367</v>
      </c>
      <c r="C117" s="6" t="s">
        <v>368</v>
      </c>
      <c r="D117" s="8">
        <v>27</v>
      </c>
      <c r="E117" s="8">
        <v>28.8</v>
      </c>
      <c r="F117" s="8">
        <v>31.5</v>
      </c>
      <c r="G117" s="8">
        <v>33.5</v>
      </c>
      <c r="H117" s="8">
        <v>32.5</v>
      </c>
      <c r="I117" s="8">
        <v>40.799999999999997</v>
      </c>
      <c r="J117" s="8">
        <v>45.2</v>
      </c>
      <c r="K117" s="8">
        <v>46.8</v>
      </c>
      <c r="L117" s="8">
        <v>48.6</v>
      </c>
      <c r="M117" s="8">
        <v>54.1</v>
      </c>
      <c r="N117" s="10">
        <f t="shared" si="3"/>
        <v>1.0037037037037035</v>
      </c>
    </row>
    <row r="118" spans="1:14" x14ac:dyDescent="0.2">
      <c r="A118" s="6">
        <v>114</v>
      </c>
      <c r="B118" s="7" t="s">
        <v>370</v>
      </c>
      <c r="C118" s="6" t="s">
        <v>371</v>
      </c>
      <c r="D118" s="8">
        <v>50.1</v>
      </c>
      <c r="E118" s="8">
        <v>54.4</v>
      </c>
      <c r="F118" s="8">
        <v>51.6</v>
      </c>
      <c r="G118" s="8">
        <v>52.4</v>
      </c>
      <c r="H118" s="8">
        <v>27.2</v>
      </c>
      <c r="I118" s="8">
        <v>26.3</v>
      </c>
      <c r="J118" s="8">
        <v>51.5</v>
      </c>
      <c r="K118" s="8">
        <v>63.1</v>
      </c>
      <c r="L118" s="8">
        <v>57.3</v>
      </c>
      <c r="M118" s="8">
        <v>61.5</v>
      </c>
      <c r="N118" s="10">
        <f t="shared" si="3"/>
        <v>0.22754491017964074</v>
      </c>
    </row>
    <row r="119" spans="1:14" x14ac:dyDescent="0.2">
      <c r="A119" s="6">
        <v>115</v>
      </c>
      <c r="B119" s="7" t="s">
        <v>373</v>
      </c>
      <c r="C119" s="6" t="s">
        <v>374</v>
      </c>
      <c r="D119" s="8">
        <v>999.4</v>
      </c>
      <c r="E119" s="8">
        <v>1062.4000000000001</v>
      </c>
      <c r="F119" s="8">
        <v>1182.4000000000001</v>
      </c>
      <c r="G119" s="8">
        <v>1299.4000000000001</v>
      </c>
      <c r="H119" s="8">
        <v>1617.1</v>
      </c>
      <c r="I119" s="8">
        <v>2124.4</v>
      </c>
      <c r="J119" s="8">
        <v>2343.3000000000002</v>
      </c>
      <c r="K119" s="8">
        <v>2414.1</v>
      </c>
      <c r="L119" s="8">
        <v>2372.1999999999998</v>
      </c>
      <c r="M119" s="8">
        <v>2346</v>
      </c>
      <c r="N119" s="10">
        <f t="shared" si="3"/>
        <v>1.3474084450670403</v>
      </c>
    </row>
    <row r="120" spans="1:14" ht="30" x14ac:dyDescent="0.2">
      <c r="A120" s="6">
        <v>116</v>
      </c>
      <c r="B120" s="7" t="s">
        <v>376</v>
      </c>
      <c r="C120" s="6" t="s">
        <v>377</v>
      </c>
      <c r="D120" s="8">
        <v>1012.4</v>
      </c>
      <c r="E120" s="8">
        <v>1103.0999999999999</v>
      </c>
      <c r="F120" s="8">
        <v>1643.8</v>
      </c>
      <c r="G120" s="8">
        <v>1658.5</v>
      </c>
      <c r="H120" s="8">
        <v>1669.8</v>
      </c>
      <c r="I120" s="8">
        <v>1828.9</v>
      </c>
      <c r="J120" s="8">
        <v>2086.8000000000002</v>
      </c>
      <c r="K120" s="8">
        <v>1875.3</v>
      </c>
      <c r="L120" s="8">
        <v>1762.5</v>
      </c>
      <c r="M120" s="8">
        <v>1522.4</v>
      </c>
      <c r="N120" s="10">
        <f t="shared" si="3"/>
        <v>0.50375345713156872</v>
      </c>
    </row>
    <row r="121" spans="1:14" x14ac:dyDescent="0.2">
      <c r="A121" s="6">
        <v>117</v>
      </c>
      <c r="B121" s="7" t="s">
        <v>379</v>
      </c>
      <c r="C121" s="6" t="s">
        <v>380</v>
      </c>
      <c r="D121" s="8">
        <v>36.700000000000003</v>
      </c>
      <c r="E121" s="8">
        <v>39.5</v>
      </c>
      <c r="F121" s="8">
        <v>49.7</v>
      </c>
      <c r="G121" s="8">
        <v>58</v>
      </c>
      <c r="H121" s="8">
        <v>59.2</v>
      </c>
      <c r="I121" s="8">
        <v>77.400000000000006</v>
      </c>
      <c r="J121" s="8">
        <v>79.900000000000006</v>
      </c>
      <c r="K121" s="8">
        <v>73</v>
      </c>
      <c r="L121" s="8">
        <v>62.3</v>
      </c>
      <c r="M121" s="8">
        <v>77.400000000000006</v>
      </c>
      <c r="N121" s="10">
        <f t="shared" si="3"/>
        <v>1.1089918256130789</v>
      </c>
    </row>
    <row r="122" spans="1:14" x14ac:dyDescent="0.2">
      <c r="A122" s="6">
        <v>118</v>
      </c>
      <c r="B122" s="7" t="s">
        <v>382</v>
      </c>
      <c r="C122" s="6" t="s">
        <v>383</v>
      </c>
      <c r="D122" s="8">
        <v>498.9</v>
      </c>
      <c r="E122" s="8">
        <v>736.4</v>
      </c>
      <c r="F122" s="8">
        <v>1132.2</v>
      </c>
      <c r="G122" s="8">
        <v>1326.2</v>
      </c>
      <c r="H122" s="8">
        <v>1467.9</v>
      </c>
      <c r="I122" s="8">
        <v>1619.3</v>
      </c>
      <c r="J122" s="8">
        <v>1764.4</v>
      </c>
      <c r="K122" s="8">
        <v>1358.7</v>
      </c>
      <c r="L122" s="8">
        <v>1185.0999999999999</v>
      </c>
      <c r="M122" s="8">
        <v>1030.5</v>
      </c>
      <c r="N122" s="10">
        <f t="shared" si="3"/>
        <v>1.0655441972339146</v>
      </c>
    </row>
    <row r="123" spans="1:14" ht="30" x14ac:dyDescent="0.2">
      <c r="A123" s="6">
        <v>119</v>
      </c>
      <c r="B123" s="7" t="s">
        <v>385</v>
      </c>
      <c r="C123" s="6" t="s">
        <v>386</v>
      </c>
      <c r="D123" s="8">
        <v>134.6</v>
      </c>
      <c r="E123" s="8">
        <v>138.69999999999999</v>
      </c>
      <c r="F123" s="8">
        <v>164.3</v>
      </c>
      <c r="G123" s="8">
        <v>176.6</v>
      </c>
      <c r="H123" s="8">
        <v>148.69999999999999</v>
      </c>
      <c r="I123" s="8">
        <v>169.1</v>
      </c>
      <c r="J123" s="8">
        <v>251.2</v>
      </c>
      <c r="K123" s="8">
        <v>289.89999999999998</v>
      </c>
      <c r="L123" s="8">
        <v>297.60000000000002</v>
      </c>
      <c r="M123" s="8">
        <v>281.7</v>
      </c>
      <c r="N123" s="10">
        <f t="shared" si="3"/>
        <v>1.0928677563150075</v>
      </c>
    </row>
    <row r="124" spans="1:14" x14ac:dyDescent="0.2">
      <c r="A124" s="6">
        <v>120</v>
      </c>
      <c r="B124" s="7" t="s">
        <v>388</v>
      </c>
      <c r="C124" s="6" t="s">
        <v>389</v>
      </c>
      <c r="D124" s="8">
        <v>105.7</v>
      </c>
      <c r="E124" s="8">
        <v>120.3</v>
      </c>
      <c r="F124" s="8">
        <v>128.69999999999999</v>
      </c>
      <c r="G124" s="8">
        <v>136.4</v>
      </c>
      <c r="H124" s="8">
        <v>151.6</v>
      </c>
      <c r="I124" s="8">
        <v>214.1</v>
      </c>
      <c r="J124" s="8">
        <v>100</v>
      </c>
      <c r="K124" s="8">
        <v>169.7</v>
      </c>
      <c r="L124" s="8">
        <v>212.5</v>
      </c>
      <c r="M124" s="8">
        <v>269.8</v>
      </c>
      <c r="N124" s="10">
        <f t="shared" si="3"/>
        <v>1.552507095553453</v>
      </c>
    </row>
    <row r="125" spans="1:14" ht="30" x14ac:dyDescent="0.2">
      <c r="A125" s="6">
        <v>121</v>
      </c>
      <c r="B125" s="7" t="s">
        <v>391</v>
      </c>
      <c r="C125" s="6" t="s">
        <v>392</v>
      </c>
      <c r="D125" s="8">
        <v>22.4</v>
      </c>
      <c r="E125" s="8">
        <v>24.4</v>
      </c>
      <c r="F125" s="8">
        <v>27.7</v>
      </c>
      <c r="G125" s="8">
        <v>31.2</v>
      </c>
      <c r="H125" s="8">
        <v>33.6</v>
      </c>
      <c r="I125" s="8">
        <v>38.799999999999997</v>
      </c>
      <c r="J125" s="8">
        <v>43.8</v>
      </c>
      <c r="K125" s="8">
        <v>42.8</v>
      </c>
      <c r="L125" s="8">
        <v>45</v>
      </c>
      <c r="M125" s="8">
        <v>48.7</v>
      </c>
      <c r="N125" s="10">
        <f t="shared" si="3"/>
        <v>1.1741071428571432</v>
      </c>
    </row>
    <row r="126" spans="1:14" x14ac:dyDescent="0.2">
      <c r="A126" s="6">
        <v>122</v>
      </c>
      <c r="B126" s="7" t="s">
        <v>394</v>
      </c>
      <c r="C126" s="6" t="s">
        <v>395</v>
      </c>
      <c r="D126" s="8">
        <v>12.9</v>
      </c>
      <c r="E126" s="8">
        <v>15.8</v>
      </c>
      <c r="F126" s="8">
        <v>19.7</v>
      </c>
      <c r="G126" s="8">
        <v>25.5</v>
      </c>
      <c r="H126" s="8">
        <v>31.2</v>
      </c>
      <c r="I126" s="8">
        <v>46.8</v>
      </c>
      <c r="J126" s="8">
        <v>61.1</v>
      </c>
      <c r="K126" s="8">
        <v>86.8</v>
      </c>
      <c r="L126" s="8">
        <v>98.9</v>
      </c>
      <c r="M126" s="8">
        <v>93.7</v>
      </c>
      <c r="N126" s="10">
        <f t="shared" si="3"/>
        <v>6.2635658914728678</v>
      </c>
    </row>
    <row r="127" spans="1:14" x14ac:dyDescent="0.2">
      <c r="A127" s="6">
        <v>123</v>
      </c>
      <c r="B127" s="7" t="s">
        <v>397</v>
      </c>
      <c r="C127" s="6" t="s">
        <v>398</v>
      </c>
      <c r="D127" s="8">
        <v>30.8</v>
      </c>
      <c r="E127" s="8">
        <v>32</v>
      </c>
      <c r="F127" s="8">
        <v>34.4</v>
      </c>
      <c r="G127" s="8">
        <v>37.200000000000003</v>
      </c>
      <c r="H127" s="8">
        <v>38.299999999999997</v>
      </c>
      <c r="I127" s="8">
        <v>48.3</v>
      </c>
      <c r="J127" s="8">
        <v>46.7</v>
      </c>
      <c r="K127" s="8">
        <v>48.4</v>
      </c>
      <c r="L127" s="8">
        <v>50.7</v>
      </c>
      <c r="M127" s="8">
        <v>58.9</v>
      </c>
      <c r="N127" s="10">
        <f t="shared" si="3"/>
        <v>0.91233766233766223</v>
      </c>
    </row>
    <row r="128" spans="1:14" x14ac:dyDescent="0.2">
      <c r="A128" s="6">
        <v>124</v>
      </c>
      <c r="B128" s="7" t="s">
        <v>400</v>
      </c>
      <c r="C128" s="6" t="s">
        <v>401</v>
      </c>
      <c r="D128" s="8">
        <v>1191.5</v>
      </c>
      <c r="E128" s="8">
        <v>1475.2</v>
      </c>
      <c r="F128" s="8">
        <v>1515</v>
      </c>
      <c r="G128" s="8">
        <v>1297.4000000000001</v>
      </c>
      <c r="H128" s="8">
        <v>1157.9000000000001</v>
      </c>
      <c r="I128" s="8">
        <v>1684.6</v>
      </c>
      <c r="J128" s="8">
        <v>1945.6</v>
      </c>
      <c r="K128" s="8">
        <v>1533.6</v>
      </c>
      <c r="L128" s="8">
        <v>1517.6</v>
      </c>
      <c r="M128" s="8">
        <v>1522.2</v>
      </c>
      <c r="N128" s="10">
        <f t="shared" si="3"/>
        <v>0.27754930759546803</v>
      </c>
    </row>
    <row r="129" spans="1:14" ht="30" x14ac:dyDescent="0.2">
      <c r="A129" s="6">
        <v>125</v>
      </c>
      <c r="B129" s="7" t="s">
        <v>403</v>
      </c>
      <c r="C129" s="6" t="s">
        <v>404</v>
      </c>
      <c r="D129" s="8"/>
      <c r="E129" s="8">
        <v>142</v>
      </c>
      <c r="F129" s="8">
        <v>178.3</v>
      </c>
      <c r="G129" s="8">
        <v>192</v>
      </c>
      <c r="H129" s="8">
        <v>195.8</v>
      </c>
      <c r="I129" s="8">
        <v>203</v>
      </c>
      <c r="J129" s="8">
        <v>248.1</v>
      </c>
      <c r="K129" s="8">
        <v>274.60000000000002</v>
      </c>
      <c r="L129" s="8">
        <v>304.3</v>
      </c>
      <c r="M129" s="8">
        <v>312.39999999999998</v>
      </c>
      <c r="N129" s="10" t="str">
        <f t="shared" si="3"/>
        <v>N/A</v>
      </c>
    </row>
    <row r="130" spans="1:14" x14ac:dyDescent="0.2">
      <c r="A130" s="6">
        <v>126</v>
      </c>
      <c r="B130" s="7" t="s">
        <v>406</v>
      </c>
      <c r="C130" s="6" t="s">
        <v>407</v>
      </c>
      <c r="D130" s="8">
        <v>25.5</v>
      </c>
      <c r="E130" s="8">
        <v>19.7</v>
      </c>
      <c r="F130" s="8">
        <v>119.7</v>
      </c>
      <c r="G130" s="8">
        <v>153.19999999999999</v>
      </c>
      <c r="H130" s="8">
        <v>163.5</v>
      </c>
      <c r="I130" s="8">
        <v>191.5</v>
      </c>
      <c r="J130" s="8">
        <v>206.8</v>
      </c>
      <c r="K130" s="8">
        <v>262.39999999999998</v>
      </c>
      <c r="L130" s="8">
        <v>302</v>
      </c>
      <c r="M130" s="8">
        <v>353.3</v>
      </c>
      <c r="N130" s="10">
        <f t="shared" si="3"/>
        <v>12.854901960784314</v>
      </c>
    </row>
    <row r="131" spans="1:14" ht="30" x14ac:dyDescent="0.2">
      <c r="A131" s="6">
        <v>127</v>
      </c>
      <c r="B131" s="7" t="s">
        <v>409</v>
      </c>
      <c r="C131" s="6" t="s">
        <v>410</v>
      </c>
      <c r="D131" s="8">
        <v>313.10000000000002</v>
      </c>
      <c r="E131" s="8">
        <v>299.2</v>
      </c>
      <c r="F131" s="8">
        <v>297.7</v>
      </c>
      <c r="G131" s="8">
        <v>286.3</v>
      </c>
      <c r="H131" s="8">
        <v>321.8</v>
      </c>
      <c r="I131" s="8">
        <v>418.8</v>
      </c>
      <c r="J131" s="8">
        <v>606.29999999999995</v>
      </c>
      <c r="K131" s="8">
        <v>600.5</v>
      </c>
      <c r="L131" s="8">
        <v>624.6</v>
      </c>
      <c r="M131" s="8">
        <v>648.9</v>
      </c>
      <c r="N131" s="10">
        <f t="shared" si="3"/>
        <v>1.0725007984669435</v>
      </c>
    </row>
    <row r="132" spans="1:14" ht="30" x14ac:dyDescent="0.2">
      <c r="A132" s="6">
        <v>128</v>
      </c>
      <c r="B132" s="7" t="s">
        <v>412</v>
      </c>
      <c r="C132" s="6" t="s">
        <v>413</v>
      </c>
      <c r="D132" s="8">
        <v>13.9</v>
      </c>
      <c r="E132" s="8">
        <v>14.4</v>
      </c>
      <c r="F132" s="8">
        <v>15.6</v>
      </c>
      <c r="G132" s="8">
        <v>17</v>
      </c>
      <c r="H132" s="8">
        <v>16.399999999999999</v>
      </c>
      <c r="I132" s="8">
        <v>17.600000000000001</v>
      </c>
      <c r="J132" s="8">
        <v>21.5</v>
      </c>
      <c r="K132" s="8">
        <v>23.1</v>
      </c>
      <c r="L132" s="8">
        <v>22.9</v>
      </c>
      <c r="M132" s="8">
        <v>25.3</v>
      </c>
      <c r="N132" s="10">
        <f t="shared" si="3"/>
        <v>0.82014388489208634</v>
      </c>
    </row>
    <row r="133" spans="1:14" x14ac:dyDescent="0.2">
      <c r="A133" s="6">
        <v>129</v>
      </c>
      <c r="B133" s="7" t="s">
        <v>415</v>
      </c>
      <c r="C133" s="6" t="s">
        <v>416</v>
      </c>
      <c r="D133" s="8">
        <v>8.33</v>
      </c>
      <c r="E133" s="8">
        <v>8.75</v>
      </c>
      <c r="F133" s="8">
        <v>8.92</v>
      </c>
      <c r="G133" s="8">
        <v>8.84</v>
      </c>
      <c r="H133" s="8">
        <v>9.48</v>
      </c>
      <c r="I133" s="8">
        <v>12.9</v>
      </c>
      <c r="J133" s="8">
        <v>13.2</v>
      </c>
      <c r="K133" s="8">
        <v>13.5</v>
      </c>
      <c r="L133" s="8">
        <v>13.3</v>
      </c>
      <c r="M133" s="8">
        <v>13.7</v>
      </c>
      <c r="N133" s="10">
        <f t="shared" ref="N133:N154" si="4">IF(D133=0,"N/A",(M133/D133)-1)</f>
        <v>0.64465786314525797</v>
      </c>
    </row>
    <row r="134" spans="1:14" x14ac:dyDescent="0.2">
      <c r="A134" s="6">
        <v>130</v>
      </c>
      <c r="B134" s="7" t="s">
        <v>418</v>
      </c>
      <c r="C134" s="6" t="s">
        <v>419</v>
      </c>
      <c r="D134" s="8">
        <v>20.3</v>
      </c>
      <c r="E134" s="8">
        <v>22.7</v>
      </c>
      <c r="F134" s="8">
        <v>24.6</v>
      </c>
      <c r="G134" s="8">
        <v>27</v>
      </c>
      <c r="H134" s="8">
        <v>29.4</v>
      </c>
      <c r="I134" s="8">
        <v>35.6</v>
      </c>
      <c r="J134" s="8">
        <v>40.5</v>
      </c>
      <c r="K134" s="8">
        <v>42.7</v>
      </c>
      <c r="L134" s="8">
        <v>48.1</v>
      </c>
      <c r="M134" s="8">
        <v>56.6</v>
      </c>
      <c r="N134" s="10">
        <f t="shared" si="4"/>
        <v>1.7881773399014778</v>
      </c>
    </row>
    <row r="135" spans="1:14" x14ac:dyDescent="0.2">
      <c r="A135" s="6">
        <v>131</v>
      </c>
      <c r="B135" s="7" t="s">
        <v>421</v>
      </c>
      <c r="C135" s="6" t="s">
        <v>422</v>
      </c>
      <c r="D135" s="8">
        <v>119.3</v>
      </c>
      <c r="E135" s="8">
        <v>150.4</v>
      </c>
      <c r="F135" s="8">
        <v>146.4</v>
      </c>
      <c r="G135" s="8">
        <v>145.4</v>
      </c>
      <c r="H135" s="8">
        <v>89.5</v>
      </c>
      <c r="I135" s="8">
        <v>178.9</v>
      </c>
      <c r="J135" s="8">
        <v>238.5</v>
      </c>
      <c r="K135" s="8">
        <v>207</v>
      </c>
      <c r="L135" s="8">
        <v>167.2</v>
      </c>
      <c r="M135" s="8">
        <v>158</v>
      </c>
      <c r="N135" s="10">
        <f t="shared" si="4"/>
        <v>0.32439228834870071</v>
      </c>
    </row>
    <row r="136" spans="1:14" x14ac:dyDescent="0.2">
      <c r="A136" s="6">
        <v>132</v>
      </c>
      <c r="B136" s="7" t="s">
        <v>424</v>
      </c>
      <c r="C136" s="6" t="s">
        <v>425</v>
      </c>
      <c r="D136" s="8">
        <v>955</v>
      </c>
      <c r="E136" s="8">
        <v>1053.8</v>
      </c>
      <c r="F136" s="8">
        <v>1048.5</v>
      </c>
      <c r="G136" s="8">
        <v>942.2</v>
      </c>
      <c r="H136" s="8">
        <v>827.5</v>
      </c>
      <c r="I136" s="8">
        <v>875.4</v>
      </c>
      <c r="J136" s="8">
        <v>1069.7</v>
      </c>
      <c r="K136" s="8">
        <v>1080.3</v>
      </c>
      <c r="L136" s="8">
        <v>959.2</v>
      </c>
      <c r="M136" s="8">
        <v>1026.9000000000001</v>
      </c>
      <c r="N136" s="10">
        <f t="shared" si="4"/>
        <v>7.5287958115183296E-2</v>
      </c>
    </row>
    <row r="137" spans="1:14" ht="30" x14ac:dyDescent="0.2">
      <c r="A137" s="6">
        <v>133</v>
      </c>
      <c r="B137" s="7" t="s">
        <v>427</v>
      </c>
      <c r="C137" s="6" t="s">
        <v>428</v>
      </c>
      <c r="D137" s="8">
        <v>95.3</v>
      </c>
      <c r="E137" s="8">
        <v>107.9</v>
      </c>
      <c r="F137" s="8">
        <v>109.1</v>
      </c>
      <c r="G137" s="8">
        <v>151.19999999999999</v>
      </c>
      <c r="H137" s="8">
        <v>141.9</v>
      </c>
      <c r="I137" s="8">
        <v>203.6</v>
      </c>
      <c r="J137" s="8">
        <v>134.9</v>
      </c>
      <c r="K137" s="8">
        <v>285.60000000000002</v>
      </c>
      <c r="L137" s="8">
        <v>303.7</v>
      </c>
      <c r="M137" s="8">
        <v>195.5</v>
      </c>
      <c r="N137" s="10">
        <f t="shared" si="4"/>
        <v>1.0514165792235048</v>
      </c>
    </row>
    <row r="138" spans="1:14" x14ac:dyDescent="0.2">
      <c r="A138" s="6">
        <v>134</v>
      </c>
      <c r="B138" s="7" t="s">
        <v>430</v>
      </c>
      <c r="C138" s="6" t="s">
        <v>431</v>
      </c>
      <c r="D138" s="8">
        <v>119.4</v>
      </c>
      <c r="E138" s="8">
        <v>195.9</v>
      </c>
      <c r="F138" s="8">
        <v>224.5</v>
      </c>
      <c r="G138" s="8">
        <v>227.9</v>
      </c>
      <c r="H138" s="8">
        <v>122.9</v>
      </c>
      <c r="I138" s="8">
        <v>163.30000000000001</v>
      </c>
      <c r="J138" s="8">
        <v>247.5</v>
      </c>
      <c r="K138" s="8">
        <v>279.60000000000002</v>
      </c>
      <c r="L138" s="8">
        <v>287.8</v>
      </c>
      <c r="M138" s="8">
        <v>305.8</v>
      </c>
      <c r="N138" s="10">
        <f t="shared" si="4"/>
        <v>1.5611390284757118</v>
      </c>
    </row>
    <row r="139" spans="1:14" x14ac:dyDescent="0.2">
      <c r="A139" s="6">
        <v>135</v>
      </c>
      <c r="B139" s="7" t="s">
        <v>433</v>
      </c>
      <c r="C139" s="6" t="s">
        <v>434</v>
      </c>
      <c r="D139" s="8">
        <v>53.8</v>
      </c>
      <c r="E139" s="8">
        <v>57.9</v>
      </c>
      <c r="F139" s="8">
        <v>61.3</v>
      </c>
      <c r="G139" s="8">
        <v>65.400000000000006</v>
      </c>
      <c r="H139" s="8">
        <v>71.900000000000006</v>
      </c>
      <c r="I139" s="8">
        <v>86.1</v>
      </c>
      <c r="J139" s="8">
        <v>91.3</v>
      </c>
      <c r="K139" s="8">
        <v>79.5</v>
      </c>
      <c r="L139" s="8">
        <v>79.7</v>
      </c>
      <c r="M139" s="8">
        <v>92.9</v>
      </c>
      <c r="N139" s="10">
        <f t="shared" si="4"/>
        <v>0.72676579925650575</v>
      </c>
    </row>
    <row r="140" spans="1:14" x14ac:dyDescent="0.2">
      <c r="A140" s="6">
        <v>136</v>
      </c>
      <c r="B140" s="7" t="s">
        <v>436</v>
      </c>
      <c r="C140" s="6" t="s">
        <v>437</v>
      </c>
      <c r="D140" s="8">
        <v>359.9</v>
      </c>
      <c r="E140" s="8">
        <v>362.7</v>
      </c>
      <c r="F140" s="8">
        <v>336.6</v>
      </c>
      <c r="G140" s="8">
        <v>338.5</v>
      </c>
      <c r="H140" s="8">
        <v>255.3</v>
      </c>
      <c r="I140" s="8">
        <v>411.5</v>
      </c>
      <c r="J140" s="8">
        <v>467.9</v>
      </c>
      <c r="K140" s="8">
        <v>486.1</v>
      </c>
      <c r="L140" s="8">
        <v>496.4</v>
      </c>
      <c r="M140" s="8">
        <v>529.79999999999995</v>
      </c>
      <c r="N140" s="10">
        <f t="shared" si="4"/>
        <v>0.47207557654904142</v>
      </c>
    </row>
    <row r="141" spans="1:14" x14ac:dyDescent="0.2">
      <c r="A141" s="6">
        <v>137</v>
      </c>
      <c r="B141" s="7" t="s">
        <v>439</v>
      </c>
      <c r="C141" s="6" t="s">
        <v>440</v>
      </c>
      <c r="D141" s="8">
        <v>2020.8</v>
      </c>
      <c r="E141" s="8">
        <v>2127.5</v>
      </c>
      <c r="F141" s="8">
        <v>2188.6</v>
      </c>
      <c r="G141" s="8">
        <v>2197.1</v>
      </c>
      <c r="H141" s="8">
        <v>1786.5</v>
      </c>
      <c r="I141" s="8">
        <v>2422.1</v>
      </c>
      <c r="J141" s="8">
        <v>2384.9</v>
      </c>
      <c r="K141" s="8">
        <v>2324.6</v>
      </c>
      <c r="L141" s="8">
        <v>2325.1</v>
      </c>
      <c r="M141" s="8">
        <v>2436.1</v>
      </c>
      <c r="N141" s="10">
        <f t="shared" si="4"/>
        <v>0.20551266825019798</v>
      </c>
    </row>
    <row r="142" spans="1:14" x14ac:dyDescent="0.2">
      <c r="A142" s="6">
        <v>138</v>
      </c>
      <c r="B142" s="7" t="s">
        <v>442</v>
      </c>
      <c r="C142" s="6" t="s">
        <v>443</v>
      </c>
      <c r="D142" s="8">
        <v>1902.2</v>
      </c>
      <c r="E142" s="8">
        <v>1988.5</v>
      </c>
      <c r="F142" s="8">
        <v>2136.1</v>
      </c>
      <c r="G142" s="8">
        <v>2222.1</v>
      </c>
      <c r="H142" s="8">
        <v>2393.6999999999998</v>
      </c>
      <c r="I142" s="8">
        <v>3984.2</v>
      </c>
      <c r="J142" s="8">
        <v>5243.2</v>
      </c>
      <c r="K142" s="8">
        <v>3789.3</v>
      </c>
      <c r="L142" s="8">
        <v>2983.8</v>
      </c>
      <c r="M142" s="8">
        <v>2730.4</v>
      </c>
      <c r="N142" s="10">
        <f t="shared" si="4"/>
        <v>0.43539060035748078</v>
      </c>
    </row>
    <row r="143" spans="1:14" ht="30" x14ac:dyDescent="0.2">
      <c r="A143" s="6">
        <v>139</v>
      </c>
      <c r="B143" s="7" t="s">
        <v>445</v>
      </c>
      <c r="C143" s="6" t="s">
        <v>446</v>
      </c>
      <c r="D143" s="8">
        <v>132.9</v>
      </c>
      <c r="E143" s="8">
        <v>130.80000000000001</v>
      </c>
      <c r="F143" s="8">
        <v>138.1</v>
      </c>
      <c r="G143" s="8">
        <v>134.6</v>
      </c>
      <c r="H143" s="8">
        <v>141.6</v>
      </c>
      <c r="I143" s="8">
        <v>143.1</v>
      </c>
      <c r="J143" s="8">
        <v>162.4</v>
      </c>
      <c r="K143" s="8">
        <v>166.3</v>
      </c>
      <c r="L143" s="8">
        <v>191.9</v>
      </c>
      <c r="M143" s="8">
        <v>194.7</v>
      </c>
      <c r="N143" s="10">
        <f t="shared" si="4"/>
        <v>0.46501128668171532</v>
      </c>
    </row>
    <row r="144" spans="1:14" x14ac:dyDescent="0.2">
      <c r="A144" s="6">
        <v>140</v>
      </c>
      <c r="B144" s="7" t="s">
        <v>448</v>
      </c>
      <c r="C144" s="6" t="s">
        <v>449</v>
      </c>
      <c r="D144" s="8">
        <v>63.7</v>
      </c>
      <c r="E144" s="8">
        <v>58.4</v>
      </c>
      <c r="F144" s="8">
        <v>64.7</v>
      </c>
      <c r="G144" s="8">
        <v>69.2</v>
      </c>
      <c r="H144" s="8">
        <v>75.7</v>
      </c>
      <c r="I144" s="8">
        <v>84.5</v>
      </c>
      <c r="J144" s="8">
        <v>97.8</v>
      </c>
      <c r="K144" s="8">
        <v>95.6</v>
      </c>
      <c r="L144" s="8">
        <v>89</v>
      </c>
      <c r="M144" s="8">
        <v>90.7</v>
      </c>
      <c r="N144" s="10">
        <f t="shared" si="4"/>
        <v>0.42386185243328089</v>
      </c>
    </row>
    <row r="145" spans="1:14" x14ac:dyDescent="0.2">
      <c r="A145" s="6">
        <v>141</v>
      </c>
      <c r="B145" s="7" t="s">
        <v>451</v>
      </c>
      <c r="C145" s="6" t="s">
        <v>452</v>
      </c>
      <c r="D145" s="8">
        <v>416.3</v>
      </c>
      <c r="E145" s="8">
        <v>474.9</v>
      </c>
      <c r="F145" s="8">
        <v>524.1</v>
      </c>
      <c r="G145" s="8">
        <v>571.70000000000005</v>
      </c>
      <c r="H145" s="8">
        <v>480.2</v>
      </c>
      <c r="I145" s="8">
        <v>541.5</v>
      </c>
      <c r="J145" s="8">
        <v>616.1</v>
      </c>
      <c r="K145" s="8">
        <v>568.20000000000005</v>
      </c>
      <c r="L145" s="8">
        <v>568.5</v>
      </c>
      <c r="M145" s="8">
        <v>656.1</v>
      </c>
      <c r="N145" s="10">
        <f t="shared" si="4"/>
        <v>0.57602690367523413</v>
      </c>
    </row>
    <row r="146" spans="1:14" x14ac:dyDescent="0.2">
      <c r="A146" s="6">
        <v>142</v>
      </c>
      <c r="B146" s="7" t="s">
        <v>454</v>
      </c>
      <c r="C146" s="6" t="s">
        <v>455</v>
      </c>
      <c r="D146" s="8">
        <v>322.60000000000002</v>
      </c>
      <c r="E146" s="8">
        <v>425.6</v>
      </c>
      <c r="F146" s="8">
        <v>552.20000000000005</v>
      </c>
      <c r="G146" s="8">
        <v>563.20000000000005</v>
      </c>
      <c r="H146" s="8">
        <v>603.9</v>
      </c>
      <c r="I146" s="8">
        <v>979.2</v>
      </c>
      <c r="J146" s="8">
        <v>886.4</v>
      </c>
      <c r="K146" s="8">
        <v>845.3</v>
      </c>
      <c r="L146" s="8">
        <v>906.9</v>
      </c>
      <c r="M146" s="8">
        <v>852.9</v>
      </c>
      <c r="N146" s="10">
        <f t="shared" si="4"/>
        <v>1.6438313701177925</v>
      </c>
    </row>
    <row r="147" spans="1:14" x14ac:dyDescent="0.2">
      <c r="A147" s="6">
        <v>143</v>
      </c>
      <c r="B147" s="7" t="s">
        <v>457</v>
      </c>
      <c r="C147" s="6" t="s">
        <v>458</v>
      </c>
      <c r="D147" s="8">
        <v>1230.9000000000001</v>
      </c>
      <c r="E147" s="8">
        <v>1181</v>
      </c>
      <c r="F147" s="8">
        <v>1231.0999999999999</v>
      </c>
      <c r="G147" s="8">
        <v>1313.9</v>
      </c>
      <c r="H147" s="8">
        <v>1325.5</v>
      </c>
      <c r="I147" s="8">
        <v>1641</v>
      </c>
      <c r="J147" s="8">
        <v>2133.9</v>
      </c>
      <c r="K147" s="8">
        <v>2489.3000000000002</v>
      </c>
      <c r="L147" s="8">
        <v>2794.3</v>
      </c>
      <c r="M147" s="8">
        <v>2545.1999999999998</v>
      </c>
      <c r="N147" s="10">
        <f t="shared" si="4"/>
        <v>1.0677553009992686</v>
      </c>
    </row>
    <row r="148" spans="1:14" x14ac:dyDescent="0.2">
      <c r="A148" s="6">
        <v>144</v>
      </c>
      <c r="B148" s="7" t="s">
        <v>460</v>
      </c>
      <c r="C148" s="6" t="s">
        <v>461</v>
      </c>
      <c r="D148" s="8">
        <v>90.7</v>
      </c>
      <c r="E148" s="8">
        <v>95.3</v>
      </c>
      <c r="F148" s="8">
        <v>107.4</v>
      </c>
      <c r="G148" s="8">
        <v>104.9</v>
      </c>
      <c r="H148" s="8">
        <v>86.2</v>
      </c>
      <c r="I148" s="8">
        <v>184.2</v>
      </c>
      <c r="J148" s="8">
        <v>200.3</v>
      </c>
      <c r="K148" s="8">
        <v>232.2</v>
      </c>
      <c r="L148" s="8">
        <v>276.89999999999998</v>
      </c>
      <c r="M148" s="8">
        <v>333.2</v>
      </c>
      <c r="N148" s="10">
        <f t="shared" si="4"/>
        <v>2.6736493936052921</v>
      </c>
    </row>
    <row r="149" spans="1:14" ht="30" x14ac:dyDescent="0.2">
      <c r="A149" s="6">
        <v>145</v>
      </c>
      <c r="B149" s="7" t="s">
        <v>463</v>
      </c>
      <c r="C149" s="6" t="s">
        <v>464</v>
      </c>
      <c r="D149" s="8">
        <v>18.2</v>
      </c>
      <c r="E149" s="8">
        <v>18.399999999999999</v>
      </c>
      <c r="F149" s="8">
        <v>20.8</v>
      </c>
      <c r="G149" s="8">
        <v>20.8</v>
      </c>
      <c r="H149" s="8">
        <v>19.5</v>
      </c>
      <c r="I149" s="8">
        <v>22.7</v>
      </c>
      <c r="J149" s="8">
        <v>25.6</v>
      </c>
      <c r="K149" s="8">
        <v>29.5</v>
      </c>
      <c r="L149" s="8">
        <v>29.7</v>
      </c>
      <c r="M149" s="8">
        <v>29.8</v>
      </c>
      <c r="N149" s="10">
        <f t="shared" si="4"/>
        <v>0.63736263736263754</v>
      </c>
    </row>
    <row r="150" spans="1:14" x14ac:dyDescent="0.2">
      <c r="A150" s="6">
        <v>146</v>
      </c>
      <c r="B150" s="7" t="s">
        <v>466</v>
      </c>
      <c r="C150" s="6" t="s">
        <v>467</v>
      </c>
      <c r="D150" s="8">
        <v>20.2</v>
      </c>
      <c r="E150" s="8">
        <v>21.3</v>
      </c>
      <c r="F150" s="8">
        <v>22.4</v>
      </c>
      <c r="G150" s="8">
        <v>22.9</v>
      </c>
      <c r="H150" s="8">
        <v>20.5</v>
      </c>
      <c r="I150" s="8">
        <v>22.5</v>
      </c>
      <c r="J150" s="8">
        <v>26.7</v>
      </c>
      <c r="K150" s="8">
        <v>30.1</v>
      </c>
      <c r="L150" s="8">
        <v>30.8</v>
      </c>
      <c r="M150" s="8">
        <v>32.6</v>
      </c>
      <c r="N150" s="10">
        <f t="shared" si="4"/>
        <v>0.61386138613861396</v>
      </c>
    </row>
    <row r="151" spans="1:14" x14ac:dyDescent="0.2">
      <c r="A151" s="6">
        <v>147</v>
      </c>
      <c r="B151" s="7" t="s">
        <v>469</v>
      </c>
      <c r="C151" s="6" t="s">
        <v>470</v>
      </c>
      <c r="D151" s="8">
        <v>11.5</v>
      </c>
      <c r="E151" s="8">
        <v>11.2</v>
      </c>
      <c r="F151" s="8">
        <v>10.1</v>
      </c>
      <c r="G151" s="8">
        <v>10.7</v>
      </c>
      <c r="H151" s="8">
        <v>10.8</v>
      </c>
      <c r="I151" s="8">
        <v>11.8</v>
      </c>
      <c r="J151" s="8">
        <v>16.2</v>
      </c>
      <c r="K151" s="8">
        <v>16.3</v>
      </c>
      <c r="L151" s="8">
        <v>17.399999999999999</v>
      </c>
      <c r="M151" s="8">
        <v>19.100000000000001</v>
      </c>
      <c r="N151" s="10">
        <f t="shared" si="4"/>
        <v>0.66086956521739149</v>
      </c>
    </row>
    <row r="152" spans="1:14" ht="30" x14ac:dyDescent="0.2">
      <c r="A152" s="6">
        <v>148</v>
      </c>
      <c r="B152" s="7" t="s">
        <v>472</v>
      </c>
      <c r="C152" s="6" t="s">
        <v>473</v>
      </c>
      <c r="D152" s="8">
        <v>969.2</v>
      </c>
      <c r="E152" s="8">
        <v>1105.0999999999999</v>
      </c>
      <c r="F152" s="8">
        <v>1238.4000000000001</v>
      </c>
      <c r="G152" s="8">
        <v>1339.3</v>
      </c>
      <c r="H152" s="8">
        <v>666.8</v>
      </c>
      <c r="I152" s="8">
        <v>1077.8</v>
      </c>
      <c r="J152" s="8">
        <v>1743.8</v>
      </c>
      <c r="K152" s="8">
        <v>2170</v>
      </c>
      <c r="L152" s="8">
        <v>2197.1999999999998</v>
      </c>
      <c r="M152" s="8">
        <v>2107.6999999999998</v>
      </c>
      <c r="N152" s="10">
        <f t="shared" si="4"/>
        <v>1.1746801485761451</v>
      </c>
    </row>
    <row r="153" spans="1:14" x14ac:dyDescent="0.2">
      <c r="A153" s="6">
        <v>149</v>
      </c>
      <c r="B153" s="7" t="s">
        <v>475</v>
      </c>
      <c r="C153" s="6" t="s">
        <v>476</v>
      </c>
      <c r="D153" s="8">
        <v>2954.4</v>
      </c>
      <c r="E153" s="8">
        <v>2942.8</v>
      </c>
      <c r="F153" s="8">
        <v>2684.3</v>
      </c>
      <c r="G153" s="8">
        <v>2978.8</v>
      </c>
      <c r="H153" s="8">
        <v>2648.9</v>
      </c>
      <c r="I153" s="8">
        <v>2990.1</v>
      </c>
      <c r="J153" s="8">
        <v>3515.2</v>
      </c>
      <c r="K153" s="8">
        <v>4043.5</v>
      </c>
      <c r="L153" s="8">
        <v>3484.8</v>
      </c>
      <c r="M153" s="8">
        <v>3516.7</v>
      </c>
      <c r="N153" s="10">
        <f t="shared" si="4"/>
        <v>0.19032629298673154</v>
      </c>
    </row>
    <row r="154" spans="1:14" ht="30" x14ac:dyDescent="0.2">
      <c r="A154" s="6">
        <v>150</v>
      </c>
      <c r="B154" s="7" t="s">
        <v>478</v>
      </c>
      <c r="C154" s="6" t="s">
        <v>479</v>
      </c>
      <c r="D154" s="8">
        <v>227.9</v>
      </c>
      <c r="E154" s="8">
        <v>257.8</v>
      </c>
      <c r="F154" s="8">
        <v>286.5</v>
      </c>
      <c r="G154" s="8">
        <v>300.2</v>
      </c>
      <c r="H154" s="8">
        <v>306.60000000000002</v>
      </c>
      <c r="I154" s="8">
        <v>357.9</v>
      </c>
      <c r="J154" s="8">
        <v>401.8</v>
      </c>
      <c r="K154" s="8">
        <v>330</v>
      </c>
      <c r="L154" s="8">
        <v>345.5</v>
      </c>
      <c r="M154" s="8">
        <v>424.5</v>
      </c>
      <c r="N154" s="10">
        <f t="shared" si="4"/>
        <v>0.8626590609916629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154"/>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5" customHeight="1" x14ac:dyDescent="0.2"/>
  <cols>
    <col min="1" max="1" width="5" customWidth="1"/>
    <col min="2" max="2" width="32" customWidth="1"/>
    <col min="3" max="3" width="14" customWidth="1"/>
    <col min="4" max="14" width="11" customWidth="1"/>
  </cols>
  <sheetData>
    <row r="2" spans="1:14" ht="21" x14ac:dyDescent="0.25">
      <c r="B2" s="1" t="s">
        <v>1097</v>
      </c>
    </row>
    <row r="4" spans="1:14" ht="27.75" customHeight="1" x14ac:dyDescent="0.2">
      <c r="A4" s="5" t="s">
        <v>8</v>
      </c>
      <c r="B4" s="5" t="s">
        <v>9</v>
      </c>
      <c r="C4" s="5" t="s">
        <v>10</v>
      </c>
      <c r="D4" s="5" t="s">
        <v>1086</v>
      </c>
      <c r="E4" s="5" t="s">
        <v>1087</v>
      </c>
      <c r="F4" s="5" t="s">
        <v>1088</v>
      </c>
      <c r="G4" s="5" t="s">
        <v>1089</v>
      </c>
      <c r="H4" s="5" t="s">
        <v>1090</v>
      </c>
      <c r="I4" s="5" t="s">
        <v>1091</v>
      </c>
      <c r="J4" s="5" t="s">
        <v>1092</v>
      </c>
      <c r="K4" s="5" t="s">
        <v>1093</v>
      </c>
      <c r="L4" s="5" t="s">
        <v>1094</v>
      </c>
      <c r="M4" s="5" t="s">
        <v>1095</v>
      </c>
      <c r="N4" s="5" t="s">
        <v>1098</v>
      </c>
    </row>
    <row r="5" spans="1:14" ht="30" x14ac:dyDescent="0.2">
      <c r="A5" s="6">
        <v>1</v>
      </c>
      <c r="B5" s="7" t="s">
        <v>25</v>
      </c>
      <c r="C5" s="6" t="s">
        <v>26</v>
      </c>
      <c r="D5" s="8">
        <v>0.79400000000000004</v>
      </c>
      <c r="E5" s="8">
        <v>0.81</v>
      </c>
      <c r="F5" s="8">
        <v>0.80100000000000005</v>
      </c>
      <c r="G5" s="8">
        <v>0.78700000000000003</v>
      </c>
      <c r="H5" s="8">
        <v>0.79300000000000004</v>
      </c>
      <c r="I5" s="8">
        <v>0.79</v>
      </c>
      <c r="J5" s="8">
        <v>0.77800000000000002</v>
      </c>
      <c r="K5" s="8">
        <v>0.75700000000000001</v>
      </c>
      <c r="L5" s="8">
        <v>0.73099999999999998</v>
      </c>
      <c r="M5" s="8">
        <v>0.69899999999999995</v>
      </c>
      <c r="N5" s="10">
        <f t="shared" ref="N5:N36" si="0">IF(D5=0,"N/A",(M5/D5)-1)</f>
        <v>-0.11964735516372804</v>
      </c>
    </row>
    <row r="6" spans="1:14" ht="30" x14ac:dyDescent="0.2">
      <c r="A6" s="6">
        <v>2</v>
      </c>
      <c r="B6" s="7" t="s">
        <v>30</v>
      </c>
      <c r="C6" s="6" t="s">
        <v>31</v>
      </c>
      <c r="D6" s="8">
        <v>16.5</v>
      </c>
      <c r="E6" s="8">
        <v>16.5</v>
      </c>
      <c r="F6" s="8">
        <v>16.2</v>
      </c>
      <c r="G6" s="8">
        <v>16</v>
      </c>
      <c r="H6" s="8">
        <v>16.2</v>
      </c>
      <c r="I6" s="8">
        <v>15.9</v>
      </c>
      <c r="J6" s="8">
        <v>15.7</v>
      </c>
      <c r="K6" s="8">
        <v>13.9</v>
      </c>
      <c r="L6" s="8">
        <v>13.4</v>
      </c>
      <c r="M6" s="8">
        <v>13.7</v>
      </c>
      <c r="N6" s="10">
        <f t="shared" si="0"/>
        <v>-0.16969696969696979</v>
      </c>
    </row>
    <row r="7" spans="1:14" x14ac:dyDescent="0.2">
      <c r="A7" s="6">
        <v>3</v>
      </c>
      <c r="B7" s="7" t="s">
        <v>34</v>
      </c>
      <c r="C7" s="6" t="s">
        <v>35</v>
      </c>
      <c r="D7" s="8">
        <v>35.9</v>
      </c>
      <c r="E7" s="8">
        <v>35.299999999999997</v>
      </c>
      <c r="F7" s="8">
        <v>35.4</v>
      </c>
      <c r="G7" s="8">
        <v>35.6</v>
      </c>
      <c r="H7" s="8">
        <v>36.4</v>
      </c>
      <c r="I7" s="8">
        <v>37.299999999999997</v>
      </c>
      <c r="J7" s="8">
        <v>36.5</v>
      </c>
      <c r="K7" s="8">
        <v>36.200000000000003</v>
      </c>
      <c r="L7" s="8">
        <v>35.700000000000003</v>
      </c>
      <c r="M7" s="8">
        <v>36.299999999999997</v>
      </c>
      <c r="N7" s="10">
        <f t="shared" si="0"/>
        <v>1.1142061281337101E-2</v>
      </c>
    </row>
    <row r="8" spans="1:14" x14ac:dyDescent="0.2">
      <c r="A8" s="6">
        <v>4</v>
      </c>
      <c r="B8" s="7" t="s">
        <v>37</v>
      </c>
      <c r="C8" s="6" t="s">
        <v>38</v>
      </c>
      <c r="D8" s="8">
        <v>8.6</v>
      </c>
      <c r="E8" s="8">
        <v>8.5</v>
      </c>
      <c r="F8" s="8">
        <v>8.57</v>
      </c>
      <c r="G8" s="8">
        <v>8.17</v>
      </c>
      <c r="H8" s="8">
        <v>7.95</v>
      </c>
      <c r="I8" s="8">
        <v>7.62</v>
      </c>
      <c r="J8" s="8">
        <v>7.36</v>
      </c>
      <c r="K8" s="8">
        <v>7.12</v>
      </c>
      <c r="L8" s="8">
        <v>6.91</v>
      </c>
      <c r="M8" s="8">
        <v>6.71</v>
      </c>
      <c r="N8" s="10">
        <f t="shared" si="0"/>
        <v>-0.21976744186046504</v>
      </c>
    </row>
    <row r="9" spans="1:14" x14ac:dyDescent="0.2">
      <c r="A9" s="6">
        <v>5</v>
      </c>
      <c r="B9" s="7" t="s">
        <v>40</v>
      </c>
      <c r="C9" s="6" t="s">
        <v>41</v>
      </c>
      <c r="D9" s="8">
        <v>8.08</v>
      </c>
      <c r="E9" s="8">
        <v>8.08</v>
      </c>
      <c r="F9" s="8">
        <v>8.1</v>
      </c>
      <c r="G9" s="8">
        <v>8.1199999999999992</v>
      </c>
      <c r="H9" s="8">
        <v>8.14</v>
      </c>
      <c r="I9" s="8">
        <v>8.18</v>
      </c>
      <c r="J9" s="8">
        <v>8.2100000000000009</v>
      </c>
      <c r="K9" s="8">
        <v>8.23</v>
      </c>
      <c r="L9" s="8">
        <v>8.26</v>
      </c>
      <c r="M9" s="8">
        <v>8.2899999999999991</v>
      </c>
      <c r="N9" s="10">
        <f t="shared" si="0"/>
        <v>2.5990099009900902E-2</v>
      </c>
    </row>
    <row r="10" spans="1:14" ht="30" x14ac:dyDescent="0.2">
      <c r="A10" s="6">
        <v>6</v>
      </c>
      <c r="B10" s="7" t="s">
        <v>43</v>
      </c>
      <c r="C10" s="6" t="s">
        <v>44</v>
      </c>
      <c r="D10" s="8">
        <v>8.57</v>
      </c>
      <c r="E10" s="8">
        <v>8.61</v>
      </c>
      <c r="F10" s="8">
        <v>8.64</v>
      </c>
      <c r="G10" s="8">
        <v>8.52</v>
      </c>
      <c r="H10" s="8">
        <v>8.3800000000000008</v>
      </c>
      <c r="I10" s="8">
        <v>8.32</v>
      </c>
      <c r="J10" s="8">
        <v>8.23</v>
      </c>
      <c r="K10" s="8">
        <v>8.1300000000000008</v>
      </c>
      <c r="L10" s="8">
        <v>8.15</v>
      </c>
      <c r="M10" s="8">
        <v>8.16</v>
      </c>
      <c r="N10" s="10">
        <f t="shared" si="0"/>
        <v>-4.7841306884480739E-2</v>
      </c>
    </row>
    <row r="11" spans="1:14" ht="30" x14ac:dyDescent="0.2">
      <c r="A11" s="6">
        <v>7</v>
      </c>
      <c r="B11" s="7" t="s">
        <v>47</v>
      </c>
      <c r="C11" s="6" t="s">
        <v>48</v>
      </c>
      <c r="D11" s="8">
        <v>16.3</v>
      </c>
      <c r="E11" s="8">
        <v>16.5</v>
      </c>
      <c r="F11" s="8">
        <v>16.600000000000001</v>
      </c>
      <c r="G11" s="8">
        <v>16.399999999999999</v>
      </c>
      <c r="H11" s="8">
        <v>16.3</v>
      </c>
      <c r="I11" s="8">
        <v>16</v>
      </c>
      <c r="J11" s="8">
        <v>15.9</v>
      </c>
      <c r="K11" s="8">
        <v>16</v>
      </c>
      <c r="L11" s="8">
        <v>16.100000000000001</v>
      </c>
      <c r="M11" s="8">
        <v>16.2</v>
      </c>
      <c r="N11" s="10">
        <f t="shared" si="0"/>
        <v>-6.1349693251534498E-3</v>
      </c>
    </row>
    <row r="12" spans="1:14" x14ac:dyDescent="0.2">
      <c r="A12" s="6">
        <v>8</v>
      </c>
      <c r="B12" s="7" t="s">
        <v>50</v>
      </c>
      <c r="C12" s="6" t="s">
        <v>51</v>
      </c>
      <c r="D12" s="8">
        <v>19.899999999999999</v>
      </c>
      <c r="E12" s="8">
        <v>21.4</v>
      </c>
      <c r="F12" s="8">
        <v>24.3</v>
      </c>
      <c r="G12" s="8">
        <v>25.2</v>
      </c>
      <c r="H12" s="8">
        <v>24.8</v>
      </c>
      <c r="I12" s="8">
        <v>24.7</v>
      </c>
      <c r="J12" s="8">
        <v>24.5</v>
      </c>
      <c r="K12" s="8">
        <v>24.5</v>
      </c>
      <c r="L12" s="8">
        <v>24</v>
      </c>
      <c r="M12" s="8">
        <v>23</v>
      </c>
      <c r="N12" s="10">
        <f t="shared" si="0"/>
        <v>0.15577889447236193</v>
      </c>
    </row>
    <row r="13" spans="1:14" x14ac:dyDescent="0.2">
      <c r="A13" s="6">
        <v>9</v>
      </c>
      <c r="B13" s="7" t="s">
        <v>54</v>
      </c>
      <c r="C13" s="6" t="s">
        <v>55</v>
      </c>
      <c r="D13" s="8">
        <v>11.9</v>
      </c>
      <c r="E13" s="8">
        <v>12.1</v>
      </c>
      <c r="F13" s="8">
        <v>12.1</v>
      </c>
      <c r="G13" s="8">
        <v>12.1</v>
      </c>
      <c r="H13" s="8">
        <v>11.9</v>
      </c>
      <c r="I13" s="8">
        <v>11.8</v>
      </c>
      <c r="J13" s="8">
        <v>11.3</v>
      </c>
      <c r="K13" s="8">
        <v>10.9</v>
      </c>
      <c r="L13" s="8">
        <v>11</v>
      </c>
      <c r="M13" s="8">
        <v>11</v>
      </c>
      <c r="N13" s="10">
        <f t="shared" si="0"/>
        <v>-7.5630252100840401E-2</v>
      </c>
    </row>
    <row r="14" spans="1:14" ht="30" x14ac:dyDescent="0.2">
      <c r="A14" s="6">
        <v>10</v>
      </c>
      <c r="B14" s="7" t="s">
        <v>57</v>
      </c>
      <c r="C14" s="6" t="s">
        <v>58</v>
      </c>
      <c r="D14" s="8">
        <v>17</v>
      </c>
      <c r="E14" s="8">
        <v>17.100000000000001</v>
      </c>
      <c r="F14" s="8">
        <v>17.100000000000001</v>
      </c>
      <c r="G14" s="8">
        <v>17.100000000000001</v>
      </c>
      <c r="H14" s="8">
        <v>17</v>
      </c>
      <c r="I14" s="8">
        <v>17</v>
      </c>
      <c r="J14" s="8">
        <v>17</v>
      </c>
      <c r="K14" s="8">
        <v>17</v>
      </c>
      <c r="L14" s="8">
        <v>17</v>
      </c>
      <c r="M14" s="8">
        <v>17</v>
      </c>
      <c r="N14" s="10">
        <f t="shared" si="0"/>
        <v>0</v>
      </c>
    </row>
    <row r="15" spans="1:14" x14ac:dyDescent="0.2">
      <c r="A15" s="6">
        <v>11</v>
      </c>
      <c r="B15" s="7" t="s">
        <v>60</v>
      </c>
      <c r="C15" s="6" t="s">
        <v>61</v>
      </c>
      <c r="D15" s="8">
        <v>3.58</v>
      </c>
      <c r="E15" s="8">
        <v>3.73</v>
      </c>
      <c r="F15" s="8">
        <v>3.54</v>
      </c>
      <c r="G15" s="8">
        <v>3.45</v>
      </c>
      <c r="H15" s="8">
        <v>3.51</v>
      </c>
      <c r="I15" s="8">
        <v>3.96</v>
      </c>
      <c r="J15" s="8">
        <v>3.72</v>
      </c>
      <c r="K15" s="8">
        <v>3.66</v>
      </c>
      <c r="L15" s="8">
        <v>4.0999999999999996</v>
      </c>
      <c r="M15" s="8">
        <v>4.09</v>
      </c>
      <c r="N15" s="10">
        <f t="shared" si="0"/>
        <v>0.14245810055865915</v>
      </c>
    </row>
    <row r="16" spans="1:14" x14ac:dyDescent="0.2">
      <c r="A16" s="6">
        <v>12</v>
      </c>
      <c r="B16" s="7" t="s">
        <v>63</v>
      </c>
      <c r="C16" s="6" t="s">
        <v>64</v>
      </c>
      <c r="D16" s="8">
        <v>13.7</v>
      </c>
      <c r="E16" s="8">
        <v>14.4</v>
      </c>
      <c r="F16" s="8">
        <v>15.4</v>
      </c>
      <c r="G16" s="8">
        <v>15.4</v>
      </c>
      <c r="H16" s="8">
        <v>15.3</v>
      </c>
      <c r="I16" s="8">
        <v>15.4</v>
      </c>
      <c r="J16" s="8">
        <v>15</v>
      </c>
      <c r="K16" s="8">
        <v>14.7</v>
      </c>
      <c r="L16" s="8">
        <v>14.4</v>
      </c>
      <c r="M16" s="8">
        <v>13.6</v>
      </c>
      <c r="N16" s="10">
        <f t="shared" si="0"/>
        <v>-7.2992700729926918E-3</v>
      </c>
    </row>
    <row r="17" spans="1:14" x14ac:dyDescent="0.2">
      <c r="A17" s="6">
        <v>13</v>
      </c>
      <c r="B17" s="7" t="s">
        <v>66</v>
      </c>
      <c r="C17" s="6" t="s">
        <v>67</v>
      </c>
      <c r="D17" s="8">
        <v>12.3</v>
      </c>
      <c r="E17" s="8">
        <v>12.2</v>
      </c>
      <c r="F17" s="8">
        <v>12.3</v>
      </c>
      <c r="G17" s="8">
        <v>12.9</v>
      </c>
      <c r="H17" s="8">
        <v>13.7</v>
      </c>
      <c r="I17" s="8">
        <v>13.2</v>
      </c>
      <c r="J17" s="8">
        <v>12.2</v>
      </c>
      <c r="K17" s="8">
        <v>11.9</v>
      </c>
      <c r="L17" s="8">
        <v>11.8</v>
      </c>
      <c r="M17" s="8">
        <v>11.9</v>
      </c>
      <c r="N17" s="10">
        <f t="shared" si="0"/>
        <v>-3.2520325203252098E-2</v>
      </c>
    </row>
    <row r="18" spans="1:14" x14ac:dyDescent="0.2">
      <c r="A18" s="6">
        <v>14</v>
      </c>
      <c r="B18" s="7" t="s">
        <v>69</v>
      </c>
      <c r="C18" s="6" t="s">
        <v>70</v>
      </c>
      <c r="D18" s="8">
        <v>2.41</v>
      </c>
      <c r="E18" s="8">
        <v>2.41</v>
      </c>
      <c r="F18" s="8">
        <v>2.41</v>
      </c>
      <c r="G18" s="8">
        <v>2.41</v>
      </c>
      <c r="H18" s="8">
        <v>2.41</v>
      </c>
      <c r="I18" s="8">
        <v>2.41</v>
      </c>
      <c r="J18" s="8">
        <v>2.41</v>
      </c>
      <c r="K18" s="8">
        <v>2.41</v>
      </c>
      <c r="L18" s="8">
        <v>2.41</v>
      </c>
      <c r="M18" s="8">
        <v>2.41</v>
      </c>
      <c r="N18" s="10">
        <f t="shared" si="0"/>
        <v>0</v>
      </c>
    </row>
    <row r="19" spans="1:14" ht="30" x14ac:dyDescent="0.2">
      <c r="A19" s="6">
        <v>15</v>
      </c>
      <c r="B19" s="7" t="s">
        <v>72</v>
      </c>
      <c r="C19" s="6" t="s">
        <v>73</v>
      </c>
      <c r="D19" s="8">
        <v>15</v>
      </c>
      <c r="E19" s="8">
        <v>15.1</v>
      </c>
      <c r="F19" s="8">
        <v>15.2</v>
      </c>
      <c r="G19" s="8">
        <v>15.3</v>
      </c>
      <c r="H19" s="8">
        <v>15.1</v>
      </c>
      <c r="I19" s="8">
        <v>14.9</v>
      </c>
      <c r="J19" s="8">
        <v>14.7</v>
      </c>
      <c r="K19" s="8">
        <v>14.7</v>
      </c>
      <c r="L19" s="8">
        <v>14.7</v>
      </c>
      <c r="M19" s="8">
        <v>14.7</v>
      </c>
      <c r="N19" s="10">
        <f t="shared" si="0"/>
        <v>-2.0000000000000018E-2</v>
      </c>
    </row>
    <row r="20" spans="1:14" ht="30" x14ac:dyDescent="0.2">
      <c r="A20" s="6">
        <v>16</v>
      </c>
      <c r="B20" s="7" t="s">
        <v>76</v>
      </c>
      <c r="C20" s="6" t="s">
        <v>77</v>
      </c>
      <c r="D20" s="8">
        <v>6.1</v>
      </c>
      <c r="E20" s="8">
        <v>6.06</v>
      </c>
      <c r="F20" s="8">
        <v>6.02</v>
      </c>
      <c r="G20" s="8">
        <v>5.97</v>
      </c>
      <c r="H20" s="8">
        <v>5.82</v>
      </c>
      <c r="I20" s="8">
        <v>5.75</v>
      </c>
      <c r="J20" s="8">
        <v>5.66</v>
      </c>
      <c r="K20" s="8">
        <v>5.61</v>
      </c>
      <c r="L20" s="8">
        <v>5.48</v>
      </c>
      <c r="M20" s="8">
        <v>5.47</v>
      </c>
      <c r="N20" s="10">
        <f t="shared" si="0"/>
        <v>-0.1032786885245901</v>
      </c>
    </row>
    <row r="21" spans="1:14" x14ac:dyDescent="0.2">
      <c r="A21" s="6">
        <v>17</v>
      </c>
      <c r="B21" s="7" t="s">
        <v>79</v>
      </c>
      <c r="C21" s="6" t="s">
        <v>80</v>
      </c>
      <c r="D21" s="8">
        <v>10.199999999999999</v>
      </c>
      <c r="E21" s="8">
        <v>10.4</v>
      </c>
      <c r="F21" s="8">
        <v>10.5</v>
      </c>
      <c r="G21" s="8">
        <v>10.6</v>
      </c>
      <c r="H21" s="8">
        <v>10.8</v>
      </c>
      <c r="I21" s="8">
        <v>9.76</v>
      </c>
      <c r="J21" s="8">
        <v>8.81</v>
      </c>
      <c r="K21" s="8">
        <v>8.57</v>
      </c>
      <c r="L21" s="8">
        <v>7.93</v>
      </c>
      <c r="M21" s="8">
        <v>7.41</v>
      </c>
      <c r="N21" s="10">
        <f t="shared" si="0"/>
        <v>-0.2735294117647058</v>
      </c>
    </row>
    <row r="22" spans="1:14" x14ac:dyDescent="0.2">
      <c r="A22" s="6">
        <v>18</v>
      </c>
      <c r="B22" s="7" t="s">
        <v>82</v>
      </c>
      <c r="C22" s="6" t="s">
        <v>83</v>
      </c>
      <c r="D22" s="8">
        <v>3.46</v>
      </c>
      <c r="E22" s="8">
        <v>3.49</v>
      </c>
      <c r="F22" s="8">
        <v>3.5</v>
      </c>
      <c r="G22" s="8">
        <v>3.45</v>
      </c>
      <c r="H22" s="8">
        <v>3.65</v>
      </c>
      <c r="I22" s="8">
        <v>3.6</v>
      </c>
      <c r="J22" s="8">
        <v>3.52</v>
      </c>
      <c r="K22" s="8">
        <v>3.41</v>
      </c>
      <c r="L22" s="8">
        <v>3.3</v>
      </c>
      <c r="M22" s="8">
        <v>3.24</v>
      </c>
      <c r="N22" s="10">
        <f t="shared" si="0"/>
        <v>-6.3583815028901647E-2</v>
      </c>
    </row>
    <row r="23" spans="1:14" x14ac:dyDescent="0.2">
      <c r="A23" s="6">
        <v>19</v>
      </c>
      <c r="B23" s="7" t="s">
        <v>85</v>
      </c>
      <c r="C23" s="6" t="s">
        <v>86</v>
      </c>
      <c r="D23" s="8">
        <v>101.8</v>
      </c>
      <c r="E23" s="8">
        <v>109</v>
      </c>
      <c r="F23" s="8">
        <v>112</v>
      </c>
      <c r="G23" s="8">
        <v>111.3</v>
      </c>
      <c r="H23" s="8">
        <v>111</v>
      </c>
      <c r="I23" s="8">
        <v>110.4</v>
      </c>
      <c r="J23" s="8">
        <v>106</v>
      </c>
      <c r="K23" s="8">
        <v>103.6</v>
      </c>
      <c r="L23" s="8">
        <v>98</v>
      </c>
      <c r="M23" s="8">
        <v>97.3</v>
      </c>
      <c r="N23" s="10">
        <f t="shared" si="0"/>
        <v>-4.4204322200392943E-2</v>
      </c>
    </row>
    <row r="24" spans="1:14" ht="30" x14ac:dyDescent="0.2">
      <c r="A24" s="6">
        <v>20</v>
      </c>
      <c r="B24" s="7" t="s">
        <v>88</v>
      </c>
      <c r="C24" s="6" t="s">
        <v>89</v>
      </c>
      <c r="D24" s="8">
        <v>17.100000000000001</v>
      </c>
      <c r="E24" s="8">
        <v>17</v>
      </c>
      <c r="F24" s="8">
        <v>17.100000000000001</v>
      </c>
      <c r="G24" s="8">
        <v>16.8</v>
      </c>
      <c r="H24" s="8">
        <v>16.8</v>
      </c>
      <c r="I24" s="8">
        <v>16.899999999999999</v>
      </c>
      <c r="J24" s="8">
        <v>17</v>
      </c>
      <c r="K24" s="8">
        <v>17</v>
      </c>
      <c r="L24" s="8">
        <v>17</v>
      </c>
      <c r="M24" s="8">
        <v>17.100000000000001</v>
      </c>
      <c r="N24" s="10">
        <f t="shared" si="0"/>
        <v>0</v>
      </c>
    </row>
    <row r="25" spans="1:14" x14ac:dyDescent="0.2">
      <c r="A25" s="6">
        <v>21</v>
      </c>
      <c r="B25" s="7" t="s">
        <v>91</v>
      </c>
      <c r="C25" s="6" t="s">
        <v>92</v>
      </c>
      <c r="D25" s="8">
        <v>19</v>
      </c>
      <c r="E25" s="8">
        <v>18.600000000000001</v>
      </c>
      <c r="F25" s="8">
        <v>18</v>
      </c>
      <c r="G25" s="8">
        <v>17.399999999999999</v>
      </c>
      <c r="H25" s="8">
        <v>17.100000000000001</v>
      </c>
      <c r="I25" s="8">
        <v>17.100000000000001</v>
      </c>
      <c r="J25" s="8">
        <v>17.100000000000001</v>
      </c>
      <c r="K25" s="8">
        <v>17.100000000000001</v>
      </c>
      <c r="L25" s="8">
        <v>16.8</v>
      </c>
      <c r="M25" s="8">
        <v>16.5</v>
      </c>
      <c r="N25" s="10">
        <f t="shared" si="0"/>
        <v>-0.13157894736842102</v>
      </c>
    </row>
    <row r="26" spans="1:14" ht="30" x14ac:dyDescent="0.2">
      <c r="A26" s="6">
        <v>22</v>
      </c>
      <c r="B26" s="7" t="s">
        <v>94</v>
      </c>
      <c r="C26" s="6" t="s">
        <v>95</v>
      </c>
      <c r="D26" s="8">
        <v>47.5</v>
      </c>
      <c r="E26" s="8">
        <v>48.4</v>
      </c>
      <c r="F26" s="8">
        <v>46.4</v>
      </c>
      <c r="G26" s="8">
        <v>49.9</v>
      </c>
      <c r="H26" s="8">
        <v>49.1</v>
      </c>
      <c r="I26" s="8">
        <v>49.8</v>
      </c>
      <c r="J26" s="8">
        <v>52.4</v>
      </c>
      <c r="K26" s="8">
        <v>53</v>
      </c>
      <c r="L26" s="8">
        <v>52.1</v>
      </c>
      <c r="M26" s="8">
        <v>48.2</v>
      </c>
      <c r="N26" s="10">
        <f t="shared" si="0"/>
        <v>1.4736842105263159E-2</v>
      </c>
    </row>
    <row r="27" spans="1:14" x14ac:dyDescent="0.2">
      <c r="A27" s="6">
        <v>23</v>
      </c>
      <c r="B27" s="7" t="s">
        <v>97</v>
      </c>
      <c r="C27" s="6" t="s">
        <v>98</v>
      </c>
      <c r="D27" s="8">
        <v>11.7</v>
      </c>
      <c r="E27" s="8">
        <v>10.8</v>
      </c>
      <c r="F27" s="8">
        <v>10.4</v>
      </c>
      <c r="G27" s="8">
        <v>9.92</v>
      </c>
      <c r="H27" s="8">
        <v>9.4</v>
      </c>
      <c r="I27" s="8">
        <v>9.23</v>
      </c>
      <c r="J27" s="8">
        <v>9.14</v>
      </c>
      <c r="K27" s="8">
        <v>8.94</v>
      </c>
      <c r="L27" s="8">
        <v>8.7899999999999991</v>
      </c>
      <c r="M27" s="8">
        <v>8.7899999999999991</v>
      </c>
      <c r="N27" s="10">
        <f t="shared" si="0"/>
        <v>-0.24871794871794872</v>
      </c>
    </row>
    <row r="28" spans="1:14" x14ac:dyDescent="0.2">
      <c r="A28" s="6">
        <v>24</v>
      </c>
      <c r="B28" s="7" t="s">
        <v>100</v>
      </c>
      <c r="C28" s="6" t="s">
        <v>101</v>
      </c>
      <c r="D28" s="8">
        <v>32.1</v>
      </c>
      <c r="E28" s="8">
        <v>32.200000000000003</v>
      </c>
      <c r="F28" s="8">
        <v>32.299999999999997</v>
      </c>
      <c r="G28" s="8">
        <v>32.4</v>
      </c>
      <c r="H28" s="8">
        <v>32</v>
      </c>
      <c r="I28" s="8">
        <v>31.6</v>
      </c>
      <c r="J28" s="8">
        <v>30.7</v>
      </c>
      <c r="K28" s="8">
        <v>30.7</v>
      </c>
      <c r="L28" s="8">
        <v>30.5</v>
      </c>
      <c r="M28" s="8">
        <v>30.1</v>
      </c>
      <c r="N28" s="10">
        <f t="shared" si="0"/>
        <v>-6.230529595015577E-2</v>
      </c>
    </row>
    <row r="29" spans="1:14" x14ac:dyDescent="0.2">
      <c r="A29" s="6">
        <v>25</v>
      </c>
      <c r="B29" s="7" t="s">
        <v>103</v>
      </c>
      <c r="C29" s="6" t="s">
        <v>104</v>
      </c>
      <c r="D29" s="8">
        <v>11.3</v>
      </c>
      <c r="E29" s="8">
        <v>11.6</v>
      </c>
      <c r="F29" s="8">
        <v>11.6</v>
      </c>
      <c r="G29" s="8">
        <v>11.7</v>
      </c>
      <c r="H29" s="8">
        <v>11.6</v>
      </c>
      <c r="I29" s="8">
        <v>11.8</v>
      </c>
      <c r="J29" s="8">
        <v>11.9</v>
      </c>
      <c r="K29" s="8">
        <v>11.9</v>
      </c>
      <c r="L29" s="8">
        <v>11.8</v>
      </c>
      <c r="M29" s="8">
        <v>11.8</v>
      </c>
      <c r="N29" s="10">
        <f t="shared" si="0"/>
        <v>4.4247787610619538E-2</v>
      </c>
    </row>
    <row r="30" spans="1:14" x14ac:dyDescent="0.2">
      <c r="A30" s="6">
        <v>26</v>
      </c>
      <c r="B30" s="7" t="s">
        <v>106</v>
      </c>
      <c r="C30" s="6" t="s">
        <v>107</v>
      </c>
      <c r="D30" s="8">
        <v>17.2</v>
      </c>
      <c r="E30" s="8">
        <v>17.600000000000001</v>
      </c>
      <c r="F30" s="8">
        <v>17.899999999999999</v>
      </c>
      <c r="G30" s="8">
        <v>18.100000000000001</v>
      </c>
      <c r="H30" s="8">
        <v>19.2</v>
      </c>
      <c r="I30" s="8">
        <v>20.7</v>
      </c>
      <c r="J30" s="8">
        <v>20.8</v>
      </c>
      <c r="K30" s="8">
        <v>20.3</v>
      </c>
      <c r="L30" s="8">
        <v>20.3</v>
      </c>
      <c r="M30" s="8">
        <v>20.100000000000001</v>
      </c>
      <c r="N30" s="10">
        <f t="shared" si="0"/>
        <v>0.16860465116279078</v>
      </c>
    </row>
    <row r="31" spans="1:14" ht="30" x14ac:dyDescent="0.2">
      <c r="A31" s="6">
        <v>27</v>
      </c>
      <c r="B31" s="7" t="s">
        <v>109</v>
      </c>
      <c r="C31" s="6" t="s">
        <v>110</v>
      </c>
      <c r="D31" s="8">
        <v>6.79</v>
      </c>
      <c r="E31" s="8">
        <v>7</v>
      </c>
      <c r="F31" s="8">
        <v>7.73</v>
      </c>
      <c r="G31" s="8">
        <v>7.59</v>
      </c>
      <c r="H31" s="8">
        <v>7.48</v>
      </c>
      <c r="I31" s="8">
        <v>7.55</v>
      </c>
      <c r="J31" s="8">
        <v>7.61</v>
      </c>
      <c r="K31" s="8">
        <v>7.65</v>
      </c>
      <c r="L31" s="8">
        <v>7.7</v>
      </c>
      <c r="M31" s="8">
        <v>7.76</v>
      </c>
      <c r="N31" s="10">
        <f t="shared" si="0"/>
        <v>0.14285714285714279</v>
      </c>
    </row>
    <row r="32" spans="1:14" x14ac:dyDescent="0.2">
      <c r="A32" s="6">
        <v>28</v>
      </c>
      <c r="B32" s="7" t="s">
        <v>112</v>
      </c>
      <c r="C32" s="6" t="s">
        <v>113</v>
      </c>
      <c r="D32" s="8">
        <v>16.2</v>
      </c>
      <c r="E32" s="8">
        <v>16.3</v>
      </c>
      <c r="F32" s="8">
        <v>16.399999999999999</v>
      </c>
      <c r="G32" s="8">
        <v>16.5</v>
      </c>
      <c r="H32" s="8">
        <v>16.5</v>
      </c>
      <c r="I32" s="8">
        <v>16.8</v>
      </c>
      <c r="J32" s="8">
        <v>16.8</v>
      </c>
      <c r="K32" s="8">
        <v>16.8</v>
      </c>
      <c r="L32" s="8">
        <v>16.899999999999999</v>
      </c>
      <c r="M32" s="8">
        <v>17</v>
      </c>
      <c r="N32" s="10">
        <f t="shared" si="0"/>
        <v>4.9382716049382713E-2</v>
      </c>
    </row>
    <row r="33" spans="1:14" x14ac:dyDescent="0.2">
      <c r="A33" s="6">
        <v>29</v>
      </c>
      <c r="B33" s="7" t="s">
        <v>115</v>
      </c>
      <c r="C33" s="6" t="s">
        <v>116</v>
      </c>
      <c r="D33" s="8">
        <v>8.91</v>
      </c>
      <c r="E33" s="8">
        <v>8.91</v>
      </c>
      <c r="F33" s="8">
        <v>8.91</v>
      </c>
      <c r="G33" s="8">
        <v>8.91</v>
      </c>
      <c r="H33" s="8">
        <v>8.91</v>
      </c>
      <c r="I33" s="8">
        <v>8.91</v>
      </c>
      <c r="J33" s="8">
        <v>8.91</v>
      </c>
      <c r="K33" s="8">
        <v>8.91</v>
      </c>
      <c r="L33" s="8">
        <v>8.91</v>
      </c>
      <c r="M33" s="8">
        <v>8.93</v>
      </c>
      <c r="N33" s="10">
        <f t="shared" si="0"/>
        <v>2.2446689113355678E-3</v>
      </c>
    </row>
    <row r="34" spans="1:14" x14ac:dyDescent="0.2">
      <c r="A34" s="6">
        <v>30</v>
      </c>
      <c r="B34" s="7" t="s">
        <v>118</v>
      </c>
      <c r="C34" s="6" t="s">
        <v>119</v>
      </c>
      <c r="D34" s="8">
        <v>33.299999999999997</v>
      </c>
      <c r="E34" s="8">
        <v>33.4</v>
      </c>
      <c r="F34" s="8">
        <v>33.4</v>
      </c>
      <c r="G34" s="8">
        <v>33.299999999999997</v>
      </c>
      <c r="H34" s="8">
        <v>33.299999999999997</v>
      </c>
      <c r="I34" s="8">
        <v>33.200000000000003</v>
      </c>
      <c r="J34" s="8">
        <v>32.6</v>
      </c>
      <c r="K34" s="8">
        <v>31.1</v>
      </c>
      <c r="L34" s="8">
        <v>30.7</v>
      </c>
      <c r="M34" s="8">
        <v>30.4</v>
      </c>
      <c r="N34" s="10">
        <f t="shared" si="0"/>
        <v>-8.7087087087087012E-2</v>
      </c>
    </row>
    <row r="35" spans="1:14" ht="30" x14ac:dyDescent="0.2">
      <c r="A35" s="6">
        <v>31</v>
      </c>
      <c r="B35" s="7" t="s">
        <v>121</v>
      </c>
      <c r="C35" s="6" t="s">
        <v>122</v>
      </c>
      <c r="D35" s="8">
        <v>19.8</v>
      </c>
      <c r="E35" s="8">
        <v>30</v>
      </c>
      <c r="F35" s="8">
        <v>29</v>
      </c>
      <c r="G35" s="8">
        <v>26.3</v>
      </c>
      <c r="H35" s="8">
        <v>25.1</v>
      </c>
      <c r="I35" s="8">
        <v>23.3</v>
      </c>
      <c r="J35" s="8">
        <v>21.9</v>
      </c>
      <c r="K35" s="8">
        <v>21.6</v>
      </c>
      <c r="L35" s="8">
        <v>21</v>
      </c>
      <c r="M35" s="8">
        <v>20.3</v>
      </c>
      <c r="N35" s="10">
        <f t="shared" si="0"/>
        <v>2.5252525252525304E-2</v>
      </c>
    </row>
    <row r="36" spans="1:14" ht="30" x14ac:dyDescent="0.2">
      <c r="A36" s="6">
        <v>32</v>
      </c>
      <c r="B36" s="7" t="s">
        <v>124</v>
      </c>
      <c r="C36" s="6" t="s">
        <v>125</v>
      </c>
      <c r="D36" s="8">
        <v>15.5</v>
      </c>
      <c r="E36" s="8">
        <v>15.6</v>
      </c>
      <c r="F36" s="8">
        <v>15.6</v>
      </c>
      <c r="G36" s="8">
        <v>15.5</v>
      </c>
      <c r="H36" s="8">
        <v>15</v>
      </c>
      <c r="I36" s="8">
        <v>15</v>
      </c>
      <c r="J36" s="8">
        <v>14.7</v>
      </c>
      <c r="K36" s="8">
        <v>14.6</v>
      </c>
      <c r="L36" s="8">
        <v>14.6</v>
      </c>
      <c r="M36" s="8">
        <v>17</v>
      </c>
      <c r="N36" s="10">
        <f t="shared" si="0"/>
        <v>9.6774193548387011E-2</v>
      </c>
    </row>
    <row r="37" spans="1:14" x14ac:dyDescent="0.2">
      <c r="A37" s="6">
        <v>33</v>
      </c>
      <c r="B37" s="7" t="s">
        <v>127</v>
      </c>
      <c r="C37" s="6" t="s">
        <v>128</v>
      </c>
      <c r="D37" s="8">
        <v>58.6</v>
      </c>
      <c r="E37" s="8">
        <v>58.6</v>
      </c>
      <c r="F37" s="8">
        <v>58.6</v>
      </c>
      <c r="G37" s="8">
        <v>58.6</v>
      </c>
      <c r="H37" s="8">
        <v>58.6</v>
      </c>
      <c r="I37" s="8">
        <v>58.6</v>
      </c>
      <c r="J37" s="8">
        <v>58.9</v>
      </c>
      <c r="K37" s="8">
        <v>59.5</v>
      </c>
      <c r="L37" s="8">
        <v>59.5</v>
      </c>
      <c r="M37" s="8">
        <v>59.5</v>
      </c>
      <c r="N37" s="10">
        <f t="shared" ref="N37:N68" si="1">IF(D37=0,"N/A",(M37/D37)-1)</f>
        <v>1.5358361774743923E-2</v>
      </c>
    </row>
    <row r="38" spans="1:14" x14ac:dyDescent="0.2">
      <c r="A38" s="6">
        <v>34</v>
      </c>
      <c r="B38" s="7" t="s">
        <v>130</v>
      </c>
      <c r="C38" s="6" t="s">
        <v>131</v>
      </c>
      <c r="D38" s="8">
        <v>3.4</v>
      </c>
      <c r="E38" s="8">
        <v>3.45</v>
      </c>
      <c r="F38" s="8">
        <v>3.48</v>
      </c>
      <c r="G38" s="8">
        <v>3.5</v>
      </c>
      <c r="H38" s="8">
        <v>3.54</v>
      </c>
      <c r="I38" s="8">
        <v>3.55</v>
      </c>
      <c r="J38" s="8">
        <v>3.56</v>
      </c>
      <c r="K38" s="8">
        <v>3.61</v>
      </c>
      <c r="L38" s="8">
        <v>3.67</v>
      </c>
      <c r="M38" s="8">
        <v>3.73</v>
      </c>
      <c r="N38" s="10">
        <f t="shared" si="1"/>
        <v>9.7058823529411864E-2</v>
      </c>
    </row>
    <row r="39" spans="1:14" x14ac:dyDescent="0.2">
      <c r="A39" s="6">
        <v>35</v>
      </c>
      <c r="B39" s="7" t="s">
        <v>133</v>
      </c>
      <c r="C39" s="6" t="s">
        <v>134</v>
      </c>
      <c r="D39" s="8">
        <v>2.06</v>
      </c>
      <c r="E39" s="8">
        <v>2.06</v>
      </c>
      <c r="F39" s="8">
        <v>2.09</v>
      </c>
      <c r="G39" s="8">
        <v>2.09</v>
      </c>
      <c r="H39" s="8">
        <v>2.11</v>
      </c>
      <c r="I39" s="8">
        <v>2.13</v>
      </c>
      <c r="J39" s="8">
        <v>2.14</v>
      </c>
      <c r="K39" s="8">
        <v>2.16</v>
      </c>
      <c r="L39" s="8">
        <v>2.17</v>
      </c>
      <c r="M39" s="8">
        <v>2.04</v>
      </c>
      <c r="N39" s="10">
        <f t="shared" si="1"/>
        <v>-9.7087378640776656E-3</v>
      </c>
    </row>
    <row r="40" spans="1:14" x14ac:dyDescent="0.2">
      <c r="A40" s="6">
        <v>36</v>
      </c>
      <c r="B40" s="7" t="s">
        <v>136</v>
      </c>
      <c r="C40" s="6" t="s">
        <v>137</v>
      </c>
      <c r="D40" s="8">
        <v>79.2</v>
      </c>
      <c r="E40" s="8">
        <v>79.900000000000006</v>
      </c>
      <c r="F40" s="8">
        <v>80.3</v>
      </c>
      <c r="G40" s="8">
        <v>80.3</v>
      </c>
      <c r="H40" s="8">
        <v>80.5</v>
      </c>
      <c r="I40" s="8">
        <v>80.599999999999994</v>
      </c>
      <c r="J40" s="8">
        <v>80.8</v>
      </c>
      <c r="K40" s="8">
        <v>82.6</v>
      </c>
      <c r="L40" s="8">
        <v>83.4</v>
      </c>
      <c r="M40" s="8">
        <v>83.7</v>
      </c>
      <c r="N40" s="10">
        <f t="shared" si="1"/>
        <v>5.6818181818181879E-2</v>
      </c>
    </row>
    <row r="41" spans="1:14" ht="30" x14ac:dyDescent="0.2">
      <c r="A41" s="6">
        <v>37</v>
      </c>
      <c r="B41" s="7" t="s">
        <v>139</v>
      </c>
      <c r="C41" s="6" t="s">
        <v>140</v>
      </c>
      <c r="D41" s="8">
        <v>2.2999999999999998</v>
      </c>
      <c r="E41" s="8">
        <v>2.99</v>
      </c>
      <c r="F41" s="8">
        <v>2.88</v>
      </c>
      <c r="G41" s="8">
        <v>2.78</v>
      </c>
      <c r="H41" s="8">
        <v>2.0099999999999998</v>
      </c>
      <c r="I41" s="8">
        <v>1.99</v>
      </c>
      <c r="J41" s="8">
        <v>3.29</v>
      </c>
      <c r="K41" s="8">
        <v>2.63</v>
      </c>
      <c r="L41" s="8">
        <v>2.5499999999999998</v>
      </c>
      <c r="M41" s="8">
        <v>2.44</v>
      </c>
      <c r="N41" s="10">
        <f t="shared" si="1"/>
        <v>6.0869565217391397E-2</v>
      </c>
    </row>
    <row r="42" spans="1:14" ht="30" x14ac:dyDescent="0.2">
      <c r="A42" s="6">
        <v>38</v>
      </c>
      <c r="B42" s="7" t="s">
        <v>142</v>
      </c>
      <c r="C42" s="6" t="s">
        <v>143</v>
      </c>
      <c r="D42" s="8">
        <v>11.3</v>
      </c>
      <c r="E42" s="8">
        <v>11.3</v>
      </c>
      <c r="F42" s="8">
        <v>11.3</v>
      </c>
      <c r="G42" s="8">
        <v>11.3</v>
      </c>
      <c r="H42" s="8">
        <v>11.3</v>
      </c>
      <c r="I42" s="8">
        <v>11.3</v>
      </c>
      <c r="J42" s="8">
        <v>11.3</v>
      </c>
      <c r="K42" s="8">
        <v>11.3</v>
      </c>
      <c r="L42" s="8">
        <v>11.3</v>
      </c>
      <c r="M42" s="8">
        <v>11.3</v>
      </c>
      <c r="N42" s="10">
        <f t="shared" si="1"/>
        <v>0</v>
      </c>
    </row>
    <row r="43" spans="1:14" x14ac:dyDescent="0.2">
      <c r="A43" s="6">
        <v>39</v>
      </c>
      <c r="B43" s="7" t="s">
        <v>145</v>
      </c>
      <c r="C43" s="6" t="s">
        <v>146</v>
      </c>
      <c r="D43" s="8">
        <v>0.9</v>
      </c>
      <c r="E43" s="8">
        <v>0.9</v>
      </c>
      <c r="F43" s="8">
        <v>0.9</v>
      </c>
      <c r="G43" s="8">
        <v>0.89600000000000002</v>
      </c>
      <c r="H43" s="8">
        <v>0.89600000000000002</v>
      </c>
      <c r="I43" s="8">
        <v>0.89600000000000002</v>
      </c>
      <c r="J43" s="8">
        <v>0.89700000000000002</v>
      </c>
      <c r="K43" s="8">
        <v>0.93799999999999994</v>
      </c>
      <c r="L43" s="8">
        <v>1.05</v>
      </c>
      <c r="M43" s="8">
        <v>1.05</v>
      </c>
      <c r="N43" s="10">
        <f t="shared" si="1"/>
        <v>0.16666666666666674</v>
      </c>
    </row>
    <row r="44" spans="1:14" x14ac:dyDescent="0.2">
      <c r="A44" s="6">
        <v>40</v>
      </c>
      <c r="B44" s="7" t="s">
        <v>148</v>
      </c>
      <c r="C44" s="6" t="s">
        <v>149</v>
      </c>
      <c r="D44" s="8">
        <v>12.8</v>
      </c>
      <c r="E44" s="8">
        <v>13.7</v>
      </c>
      <c r="F44" s="8">
        <v>14.1</v>
      </c>
      <c r="G44" s="8">
        <v>14.6</v>
      </c>
      <c r="H44" s="8">
        <v>13</v>
      </c>
      <c r="I44" s="8">
        <v>13.7</v>
      </c>
      <c r="J44" s="8">
        <v>12.8</v>
      </c>
      <c r="K44" s="8">
        <v>12.9</v>
      </c>
      <c r="L44" s="8">
        <v>13.3</v>
      </c>
      <c r="M44" s="8">
        <v>14.1</v>
      </c>
      <c r="N44" s="10">
        <f t="shared" si="1"/>
        <v>0.1015625</v>
      </c>
    </row>
    <row r="45" spans="1:14" x14ac:dyDescent="0.2">
      <c r="A45" s="6">
        <v>41</v>
      </c>
      <c r="B45" s="7" t="s">
        <v>151</v>
      </c>
      <c r="C45" s="6" t="s">
        <v>152</v>
      </c>
      <c r="D45" s="8">
        <v>3.73</v>
      </c>
      <c r="E45" s="8">
        <v>3.71</v>
      </c>
      <c r="F45" s="8">
        <v>3.67</v>
      </c>
      <c r="G45" s="8">
        <v>3.32</v>
      </c>
      <c r="H45" s="8">
        <v>3.06</v>
      </c>
      <c r="I45" s="8">
        <v>3.11</v>
      </c>
      <c r="J45" s="8">
        <v>3.18</v>
      </c>
      <c r="K45" s="8">
        <v>3.19</v>
      </c>
      <c r="L45" s="8">
        <v>3.14</v>
      </c>
      <c r="M45" s="8">
        <v>3.16</v>
      </c>
      <c r="N45" s="10">
        <f t="shared" si="1"/>
        <v>-0.15281501340482573</v>
      </c>
    </row>
    <row r="46" spans="1:14" x14ac:dyDescent="0.2">
      <c r="A46" s="6">
        <v>42</v>
      </c>
      <c r="B46" s="7" t="s">
        <v>154</v>
      </c>
      <c r="C46" s="6" t="s">
        <v>155</v>
      </c>
      <c r="D46" s="8">
        <v>16.600000000000001</v>
      </c>
      <c r="E46" s="8">
        <v>16.7</v>
      </c>
      <c r="F46" s="8">
        <v>16.8</v>
      </c>
      <c r="G46" s="8">
        <v>16.899999999999999</v>
      </c>
      <c r="H46" s="8">
        <v>16.600000000000001</v>
      </c>
      <c r="I46" s="8">
        <v>16.8</v>
      </c>
      <c r="J46" s="8">
        <v>16.5</v>
      </c>
      <c r="K46" s="8">
        <v>16</v>
      </c>
      <c r="L46" s="8">
        <v>15.8</v>
      </c>
      <c r="M46" s="8">
        <v>15.2</v>
      </c>
      <c r="N46" s="10">
        <f t="shared" si="1"/>
        <v>-8.4337349397590522E-2</v>
      </c>
    </row>
    <row r="47" spans="1:14" x14ac:dyDescent="0.2">
      <c r="A47" s="6">
        <v>43</v>
      </c>
      <c r="B47" s="7" t="s">
        <v>157</v>
      </c>
      <c r="C47" s="6" t="s">
        <v>158</v>
      </c>
      <c r="D47" s="8">
        <v>71.599999999999994</v>
      </c>
      <c r="E47" s="8">
        <v>71.7</v>
      </c>
      <c r="F47" s="8">
        <v>70.5</v>
      </c>
      <c r="G47" s="8">
        <v>67</v>
      </c>
      <c r="H47" s="8">
        <v>67.2</v>
      </c>
      <c r="I47" s="8">
        <v>71.3</v>
      </c>
      <c r="J47" s="8">
        <v>69.599999999999994</v>
      </c>
      <c r="K47" s="8">
        <v>68.2</v>
      </c>
      <c r="L47" s="8">
        <v>67.400000000000006</v>
      </c>
      <c r="M47" s="8">
        <v>63.3</v>
      </c>
      <c r="N47" s="10">
        <f t="shared" si="1"/>
        <v>-0.11592178770949713</v>
      </c>
    </row>
    <row r="48" spans="1:14" x14ac:dyDescent="0.2">
      <c r="A48" s="6">
        <v>44</v>
      </c>
      <c r="B48" s="7" t="s">
        <v>160</v>
      </c>
      <c r="C48" s="6" t="s">
        <v>161</v>
      </c>
      <c r="D48" s="8">
        <v>6.64</v>
      </c>
      <c r="E48" s="8">
        <v>6.67</v>
      </c>
      <c r="F48" s="8">
        <v>6.68</v>
      </c>
      <c r="G48" s="8">
        <v>6.68</v>
      </c>
      <c r="H48" s="8">
        <v>6.68</v>
      </c>
      <c r="I48" s="8">
        <v>6.68</v>
      </c>
      <c r="J48" s="8">
        <v>6.69</v>
      </c>
      <c r="K48" s="8">
        <v>6.7</v>
      </c>
      <c r="L48" s="8">
        <v>6.71</v>
      </c>
      <c r="M48" s="8">
        <v>6.72</v>
      </c>
      <c r="N48" s="10">
        <f t="shared" si="1"/>
        <v>1.2048192771084265E-2</v>
      </c>
    </row>
    <row r="49" spans="1:14" ht="30" x14ac:dyDescent="0.2">
      <c r="A49" s="6">
        <v>45</v>
      </c>
      <c r="B49" s="7" t="s">
        <v>163</v>
      </c>
      <c r="C49" s="6" t="s">
        <v>164</v>
      </c>
      <c r="D49" s="8">
        <v>79.2</v>
      </c>
      <c r="E49" s="8">
        <v>79.099999999999994</v>
      </c>
      <c r="F49" s="8">
        <v>84</v>
      </c>
      <c r="G49" s="8">
        <v>86.5</v>
      </c>
      <c r="H49" s="8">
        <v>85.2</v>
      </c>
      <c r="I49" s="8">
        <v>85.5</v>
      </c>
      <c r="J49" s="8">
        <v>83.5</v>
      </c>
      <c r="K49" s="8">
        <v>80.3</v>
      </c>
      <c r="L49" s="8">
        <v>77</v>
      </c>
      <c r="M49" s="8">
        <v>76.7</v>
      </c>
      <c r="N49" s="10">
        <f t="shared" si="1"/>
        <v>-3.1565656565656575E-2</v>
      </c>
    </row>
    <row r="50" spans="1:14" x14ac:dyDescent="0.2">
      <c r="A50" s="6">
        <v>46</v>
      </c>
      <c r="B50" s="7" t="s">
        <v>166</v>
      </c>
      <c r="C50" s="6" t="s">
        <v>167</v>
      </c>
      <c r="D50" s="8">
        <v>146.9</v>
      </c>
      <c r="E50" s="8">
        <v>140.4</v>
      </c>
      <c r="F50" s="8">
        <v>140.4</v>
      </c>
      <c r="G50" s="8">
        <v>140.69999999999999</v>
      </c>
      <c r="H50" s="8">
        <v>134.9</v>
      </c>
      <c r="I50" s="8">
        <v>137.19999999999999</v>
      </c>
      <c r="J50" s="8">
        <v>145.69999999999999</v>
      </c>
      <c r="K50" s="8">
        <v>144.80000000000001</v>
      </c>
      <c r="L50" s="8">
        <v>145</v>
      </c>
      <c r="M50" s="8">
        <v>131</v>
      </c>
      <c r="N50" s="10">
        <f t="shared" si="1"/>
        <v>-0.10823689584751539</v>
      </c>
    </row>
    <row r="51" spans="1:14" x14ac:dyDescent="0.2">
      <c r="A51" s="6">
        <v>47</v>
      </c>
      <c r="B51" s="7" t="s">
        <v>169</v>
      </c>
      <c r="C51" s="6" t="s">
        <v>170</v>
      </c>
      <c r="D51" s="8">
        <v>29</v>
      </c>
      <c r="E51" s="8">
        <v>28.8</v>
      </c>
      <c r="F51" s="8">
        <v>29.2</v>
      </c>
      <c r="G51" s="8">
        <v>31.4</v>
      </c>
      <c r="H51" s="8">
        <v>31.5</v>
      </c>
      <c r="I51" s="8">
        <v>28.5</v>
      </c>
      <c r="J51" s="8">
        <v>31.8</v>
      </c>
      <c r="K51" s="8">
        <v>33.5</v>
      </c>
      <c r="L51" s="8">
        <v>32.5</v>
      </c>
      <c r="M51" s="8">
        <v>33</v>
      </c>
      <c r="N51" s="10">
        <f t="shared" si="1"/>
        <v>0.13793103448275867</v>
      </c>
    </row>
    <row r="52" spans="1:14" ht="30" x14ac:dyDescent="0.2">
      <c r="A52" s="6">
        <v>48</v>
      </c>
      <c r="B52" s="7" t="s">
        <v>172</v>
      </c>
      <c r="C52" s="6" t="s">
        <v>173</v>
      </c>
      <c r="D52" s="8">
        <v>2.15</v>
      </c>
      <c r="E52" s="8">
        <v>2.1800000000000002</v>
      </c>
      <c r="F52" s="8">
        <v>2.19</v>
      </c>
      <c r="G52" s="8">
        <v>2.1800000000000002</v>
      </c>
      <c r="H52" s="8">
        <v>2.1800000000000002</v>
      </c>
      <c r="I52" s="8">
        <v>2.2000000000000002</v>
      </c>
      <c r="J52" s="8">
        <v>2.2000000000000002</v>
      </c>
      <c r="K52" s="8">
        <v>2.19</v>
      </c>
      <c r="L52" s="8">
        <v>2.19</v>
      </c>
      <c r="M52" s="8">
        <v>2.2000000000000002</v>
      </c>
      <c r="N52" s="10">
        <f t="shared" si="1"/>
        <v>2.3255813953488413E-2</v>
      </c>
    </row>
    <row r="53" spans="1:14" x14ac:dyDescent="0.2">
      <c r="A53" s="6">
        <v>49</v>
      </c>
      <c r="B53" s="7" t="s">
        <v>175</v>
      </c>
      <c r="C53" s="6" t="s">
        <v>176</v>
      </c>
      <c r="D53" s="8">
        <v>1.21</v>
      </c>
      <c r="E53" s="8">
        <v>1.22</v>
      </c>
      <c r="F53" s="8">
        <v>1.23</v>
      </c>
      <c r="G53" s="8">
        <v>1.21</v>
      </c>
      <c r="H53" s="8">
        <v>1.1000000000000001</v>
      </c>
      <c r="I53" s="8">
        <v>1.0900000000000001</v>
      </c>
      <c r="J53" s="8">
        <v>1.31</v>
      </c>
      <c r="K53" s="8">
        <v>1.1100000000000001</v>
      </c>
      <c r="L53" s="8">
        <v>1.05</v>
      </c>
      <c r="M53" s="8">
        <v>1.02</v>
      </c>
      <c r="N53" s="10">
        <f t="shared" si="1"/>
        <v>-0.15702479338842967</v>
      </c>
    </row>
    <row r="54" spans="1:14" x14ac:dyDescent="0.2">
      <c r="A54" s="6">
        <v>50</v>
      </c>
      <c r="B54" s="7" t="s">
        <v>178</v>
      </c>
      <c r="C54" s="6" t="s">
        <v>179</v>
      </c>
      <c r="D54" s="8">
        <v>53.1</v>
      </c>
      <c r="E54" s="8">
        <v>53.8</v>
      </c>
      <c r="F54" s="8">
        <v>54.5</v>
      </c>
      <c r="G54" s="8">
        <v>56</v>
      </c>
      <c r="H54" s="8">
        <v>55.8</v>
      </c>
      <c r="I54" s="8">
        <v>66.8</v>
      </c>
      <c r="J54" s="8">
        <v>59</v>
      </c>
      <c r="K54" s="8">
        <v>55</v>
      </c>
      <c r="L54" s="8">
        <v>55.9</v>
      </c>
      <c r="M54" s="8">
        <v>58.6</v>
      </c>
      <c r="N54" s="10">
        <f t="shared" si="1"/>
        <v>0.10357815442561202</v>
      </c>
    </row>
    <row r="55" spans="1:14" x14ac:dyDescent="0.2">
      <c r="A55" s="6">
        <v>51</v>
      </c>
      <c r="B55" s="7" t="s">
        <v>181</v>
      </c>
      <c r="C55" s="6" t="s">
        <v>182</v>
      </c>
      <c r="D55" s="8">
        <v>27.3</v>
      </c>
      <c r="E55" s="8">
        <v>27.3</v>
      </c>
      <c r="F55" s="8">
        <v>27.3</v>
      </c>
      <c r="G55" s="8">
        <v>27.3</v>
      </c>
      <c r="H55" s="8">
        <v>27.3</v>
      </c>
      <c r="I55" s="8">
        <v>27.3</v>
      </c>
      <c r="J55" s="8">
        <v>27.3</v>
      </c>
      <c r="K55" s="8">
        <v>27.6</v>
      </c>
      <c r="L55" s="8">
        <v>27.5</v>
      </c>
      <c r="M55" s="8">
        <v>27.6</v>
      </c>
      <c r="N55" s="10">
        <f t="shared" si="1"/>
        <v>1.098901098901095E-2</v>
      </c>
    </row>
    <row r="56" spans="1:14" x14ac:dyDescent="0.2">
      <c r="A56" s="6">
        <v>52</v>
      </c>
      <c r="B56" s="7" t="s">
        <v>184</v>
      </c>
      <c r="C56" s="6" t="s">
        <v>185</v>
      </c>
      <c r="D56" s="8">
        <v>36.9</v>
      </c>
      <c r="E56" s="8">
        <v>33.1</v>
      </c>
      <c r="F56" s="8">
        <v>31.3</v>
      </c>
      <c r="G56" s="8">
        <v>29.9</v>
      </c>
      <c r="H56" s="8">
        <v>28.5</v>
      </c>
      <c r="I56" s="8">
        <v>28.6</v>
      </c>
      <c r="J56" s="8">
        <v>28.1</v>
      </c>
      <c r="K56" s="8">
        <v>27.4</v>
      </c>
      <c r="L56" s="8">
        <v>27.4</v>
      </c>
      <c r="M56" s="8">
        <v>27.5</v>
      </c>
      <c r="N56" s="10">
        <f t="shared" si="1"/>
        <v>-0.2547425474254742</v>
      </c>
    </row>
    <row r="57" spans="1:14" x14ac:dyDescent="0.2">
      <c r="A57" s="6">
        <v>53</v>
      </c>
      <c r="B57" s="7" t="s">
        <v>187</v>
      </c>
      <c r="C57" s="6" t="s">
        <v>188</v>
      </c>
      <c r="D57" s="8">
        <v>5.63</v>
      </c>
      <c r="E57" s="8">
        <v>5.68</v>
      </c>
      <c r="F57" s="8">
        <v>5.73</v>
      </c>
      <c r="G57" s="8">
        <v>5.77</v>
      </c>
      <c r="H57" s="8">
        <v>5.83</v>
      </c>
      <c r="I57" s="8">
        <v>5.88</v>
      </c>
      <c r="J57" s="8">
        <v>5.96</v>
      </c>
      <c r="K57" s="8">
        <v>6.03</v>
      </c>
      <c r="L57" s="8">
        <v>6.14</v>
      </c>
      <c r="M57" s="8">
        <v>6.22</v>
      </c>
      <c r="N57" s="10">
        <f t="shared" si="1"/>
        <v>0.10479573712255763</v>
      </c>
    </row>
    <row r="58" spans="1:14" ht="30" x14ac:dyDescent="0.2">
      <c r="A58" s="6">
        <v>54</v>
      </c>
      <c r="B58" s="7" t="s">
        <v>190</v>
      </c>
      <c r="C58" s="6" t="s">
        <v>191</v>
      </c>
      <c r="D58" s="8">
        <v>14.9</v>
      </c>
      <c r="E58" s="8">
        <v>15.1</v>
      </c>
      <c r="F58" s="8">
        <v>15.5</v>
      </c>
      <c r="G58" s="8">
        <v>15.3</v>
      </c>
      <c r="H58" s="8">
        <v>15.5</v>
      </c>
      <c r="I58" s="8">
        <v>16.100000000000001</v>
      </c>
      <c r="J58" s="8">
        <v>15.8</v>
      </c>
      <c r="K58" s="8">
        <v>16.2</v>
      </c>
      <c r="L58" s="8">
        <v>16.5</v>
      </c>
      <c r="M58" s="8">
        <v>15.3</v>
      </c>
      <c r="N58" s="10">
        <f t="shared" si="1"/>
        <v>2.6845637583892579E-2</v>
      </c>
    </row>
    <row r="59" spans="1:14" x14ac:dyDescent="0.2">
      <c r="A59" s="6">
        <v>55</v>
      </c>
      <c r="B59" s="7" t="s">
        <v>193</v>
      </c>
      <c r="C59" s="6" t="s">
        <v>194</v>
      </c>
      <c r="D59" s="8">
        <v>0.70299999999999996</v>
      </c>
      <c r="E59" s="8">
        <v>0.69399999999999995</v>
      </c>
      <c r="F59" s="8">
        <v>0.65500000000000003</v>
      </c>
      <c r="G59" s="8">
        <v>0.59599999999999997</v>
      </c>
      <c r="H59" s="8">
        <v>0.56399999999999995</v>
      </c>
      <c r="I59" s="8">
        <v>0.57499999999999996</v>
      </c>
      <c r="J59" s="8">
        <v>0.58599999999999997</v>
      </c>
      <c r="K59" s="8">
        <v>0.59899999999999998</v>
      </c>
      <c r="L59" s="8">
        <v>0.60899999999999999</v>
      </c>
      <c r="M59" s="8">
        <v>0.61799999999999999</v>
      </c>
      <c r="N59" s="10">
        <f t="shared" si="1"/>
        <v>-0.12091038406827881</v>
      </c>
    </row>
    <row r="60" spans="1:14" x14ac:dyDescent="0.2">
      <c r="A60" s="6">
        <v>56</v>
      </c>
      <c r="B60" s="7" t="s">
        <v>196</v>
      </c>
      <c r="C60" s="6" t="s">
        <v>197</v>
      </c>
      <c r="D60" s="8">
        <v>4.59</v>
      </c>
      <c r="E60" s="8">
        <v>4.59</v>
      </c>
      <c r="F60" s="8">
        <v>4.59</v>
      </c>
      <c r="G60" s="8">
        <v>4.59</v>
      </c>
      <c r="H60" s="8">
        <v>4.59</v>
      </c>
      <c r="I60" s="8">
        <v>4.59</v>
      </c>
      <c r="J60" s="8">
        <v>4.59</v>
      </c>
      <c r="K60" s="8">
        <v>4.59</v>
      </c>
      <c r="L60" s="8">
        <v>4.59</v>
      </c>
      <c r="M60" s="8">
        <v>4.59</v>
      </c>
      <c r="N60" s="10">
        <f t="shared" si="1"/>
        <v>0</v>
      </c>
    </row>
    <row r="61" spans="1:14" x14ac:dyDescent="0.2">
      <c r="A61" s="6">
        <v>57</v>
      </c>
      <c r="B61" s="7" t="s">
        <v>199</v>
      </c>
      <c r="C61" s="6" t="s">
        <v>200</v>
      </c>
      <c r="D61" s="8">
        <v>23.1</v>
      </c>
      <c r="E61" s="8">
        <v>23.2</v>
      </c>
      <c r="F61" s="8">
        <v>22.9</v>
      </c>
      <c r="G61" s="8">
        <v>22.8</v>
      </c>
      <c r="H61" s="8">
        <v>22.8</v>
      </c>
      <c r="I61" s="8">
        <v>22.6</v>
      </c>
      <c r="J61" s="8">
        <v>22.1</v>
      </c>
      <c r="K61" s="8">
        <v>22.2</v>
      </c>
      <c r="L61" s="8">
        <v>22.2</v>
      </c>
      <c r="M61" s="8">
        <v>22.5</v>
      </c>
      <c r="N61" s="10">
        <f t="shared" si="1"/>
        <v>-2.5974025974025983E-2</v>
      </c>
    </row>
    <row r="62" spans="1:14" x14ac:dyDescent="0.2">
      <c r="A62" s="6">
        <v>58</v>
      </c>
      <c r="B62" s="7" t="s">
        <v>202</v>
      </c>
      <c r="C62" s="6" t="s">
        <v>203</v>
      </c>
      <c r="D62" s="8">
        <v>41.8</v>
      </c>
      <c r="E62" s="8">
        <v>41.3</v>
      </c>
      <c r="F62" s="8">
        <v>41.5</v>
      </c>
      <c r="G62" s="8">
        <v>40.4</v>
      </c>
      <c r="H62" s="8">
        <v>38.799999999999997</v>
      </c>
      <c r="I62" s="8">
        <v>38.9</v>
      </c>
      <c r="J62" s="8">
        <v>39</v>
      </c>
      <c r="K62" s="8">
        <v>38.299999999999997</v>
      </c>
      <c r="L62" s="8">
        <v>38</v>
      </c>
      <c r="M62" s="8">
        <v>38</v>
      </c>
      <c r="N62" s="10">
        <f t="shared" si="1"/>
        <v>-9.0909090909090828E-2</v>
      </c>
    </row>
    <row r="63" spans="1:14" x14ac:dyDescent="0.2">
      <c r="A63" s="6">
        <v>59</v>
      </c>
      <c r="B63" s="7" t="s">
        <v>205</v>
      </c>
      <c r="C63" s="6" t="s">
        <v>206</v>
      </c>
      <c r="D63" s="8">
        <v>38.9</v>
      </c>
      <c r="E63" s="8">
        <v>38.9</v>
      </c>
      <c r="F63" s="8">
        <v>42.4</v>
      </c>
      <c r="G63" s="8">
        <v>38.200000000000003</v>
      </c>
      <c r="H63" s="8">
        <v>42</v>
      </c>
      <c r="I63" s="8">
        <v>42.9</v>
      </c>
      <c r="J63" s="8">
        <v>42.9</v>
      </c>
      <c r="K63" s="8">
        <v>43.1</v>
      </c>
      <c r="L63" s="8">
        <v>40</v>
      </c>
      <c r="M63" s="8">
        <v>40.6</v>
      </c>
      <c r="N63" s="10">
        <f t="shared" si="1"/>
        <v>4.3701799485861281E-2</v>
      </c>
    </row>
    <row r="64" spans="1:14" x14ac:dyDescent="0.2">
      <c r="A64" s="6">
        <v>60</v>
      </c>
      <c r="B64" s="7" t="s">
        <v>208</v>
      </c>
      <c r="C64" s="6" t="s">
        <v>209</v>
      </c>
      <c r="D64" s="8">
        <v>28.6</v>
      </c>
      <c r="E64" s="8">
        <v>28.5</v>
      </c>
      <c r="F64" s="8">
        <v>28.3</v>
      </c>
      <c r="G64" s="8">
        <v>28.2</v>
      </c>
      <c r="H64" s="8">
        <v>28.1</v>
      </c>
      <c r="I64" s="8">
        <v>27.2</v>
      </c>
      <c r="J64" s="8">
        <v>26.2</v>
      </c>
      <c r="K64" s="8">
        <v>25.9</v>
      </c>
      <c r="L64" s="8">
        <v>24.9</v>
      </c>
      <c r="M64" s="8">
        <v>24.5</v>
      </c>
      <c r="N64" s="10">
        <f t="shared" si="1"/>
        <v>-0.14335664335664344</v>
      </c>
    </row>
    <row r="65" spans="1:14" x14ac:dyDescent="0.2">
      <c r="A65" s="6">
        <v>61</v>
      </c>
      <c r="B65" s="7" t="s">
        <v>211</v>
      </c>
      <c r="C65" s="6" t="s">
        <v>212</v>
      </c>
      <c r="D65" s="8">
        <v>10</v>
      </c>
      <c r="E65" s="8">
        <v>10.1</v>
      </c>
      <c r="F65" s="8">
        <v>10.1</v>
      </c>
      <c r="G65" s="8">
        <v>10.1</v>
      </c>
      <c r="H65" s="8">
        <v>10.199999999999999</v>
      </c>
      <c r="I65" s="8">
        <v>10.1</v>
      </c>
      <c r="J65" s="8">
        <v>10.1</v>
      </c>
      <c r="K65" s="8">
        <v>10.199999999999999</v>
      </c>
      <c r="L65" s="8">
        <v>10.3</v>
      </c>
      <c r="M65" s="8">
        <v>10.6</v>
      </c>
      <c r="N65" s="10">
        <f t="shared" si="1"/>
        <v>6.0000000000000053E-2</v>
      </c>
    </row>
    <row r="66" spans="1:14" ht="30" x14ac:dyDescent="0.2">
      <c r="A66" s="6">
        <v>62</v>
      </c>
      <c r="B66" s="7" t="s">
        <v>214</v>
      </c>
      <c r="C66" s="6" t="s">
        <v>215</v>
      </c>
      <c r="D66" s="8">
        <v>33</v>
      </c>
      <c r="E66" s="8">
        <v>33.200000000000003</v>
      </c>
      <c r="F66" s="8">
        <v>33.200000000000003</v>
      </c>
      <c r="G66" s="8">
        <v>33.1</v>
      </c>
      <c r="H66" s="8">
        <v>33</v>
      </c>
      <c r="I66" s="8">
        <v>32.799999999999997</v>
      </c>
      <c r="J66" s="8">
        <v>33.4</v>
      </c>
      <c r="K66" s="8">
        <v>33</v>
      </c>
      <c r="L66" s="8">
        <v>32.9</v>
      </c>
      <c r="M66" s="8">
        <v>33.799999999999997</v>
      </c>
      <c r="N66" s="10">
        <f t="shared" si="1"/>
        <v>2.4242424242424176E-2</v>
      </c>
    </row>
    <row r="67" spans="1:14" x14ac:dyDescent="0.2">
      <c r="A67" s="6">
        <v>63</v>
      </c>
      <c r="B67" s="7" t="s">
        <v>217</v>
      </c>
      <c r="C67" s="6" t="s">
        <v>218</v>
      </c>
      <c r="D67" s="8">
        <v>19.8</v>
      </c>
      <c r="E67" s="8">
        <v>19.899999999999999</v>
      </c>
      <c r="F67" s="8">
        <v>20</v>
      </c>
      <c r="G67" s="8">
        <v>20.2</v>
      </c>
      <c r="H67" s="8">
        <v>20.3</v>
      </c>
      <c r="I67" s="8">
        <v>20.3</v>
      </c>
      <c r="J67" s="8">
        <v>20.3</v>
      </c>
      <c r="K67" s="8">
        <v>20.3</v>
      </c>
      <c r="L67" s="8">
        <v>20.399999999999999</v>
      </c>
      <c r="M67" s="8">
        <v>20.5</v>
      </c>
      <c r="N67" s="10">
        <f t="shared" si="1"/>
        <v>3.5353535353535248E-2</v>
      </c>
    </row>
    <row r="68" spans="1:14" ht="30" x14ac:dyDescent="0.2">
      <c r="A68" s="6">
        <v>64</v>
      </c>
      <c r="B68" s="7" t="s">
        <v>220</v>
      </c>
      <c r="C68" s="6" t="s">
        <v>221</v>
      </c>
      <c r="D68" s="8">
        <v>22.2</v>
      </c>
      <c r="E68" s="8">
        <v>24.3</v>
      </c>
      <c r="F68" s="8">
        <v>24.7</v>
      </c>
      <c r="G68" s="8">
        <v>24.7</v>
      </c>
      <c r="H68" s="8">
        <v>24.6</v>
      </c>
      <c r="I68" s="8">
        <v>24.7</v>
      </c>
      <c r="J68" s="8">
        <v>24.6</v>
      </c>
      <c r="K68" s="8">
        <v>24.2</v>
      </c>
      <c r="L68" s="8">
        <v>24.2</v>
      </c>
      <c r="M68" s="8">
        <v>25.4</v>
      </c>
      <c r="N68" s="10">
        <f t="shared" si="1"/>
        <v>0.14414414414414423</v>
      </c>
    </row>
    <row r="69" spans="1:14" x14ac:dyDescent="0.2">
      <c r="A69" s="6">
        <v>65</v>
      </c>
      <c r="B69" s="7" t="s">
        <v>223</v>
      </c>
      <c r="C69" s="6" t="s">
        <v>224</v>
      </c>
      <c r="D69" s="8">
        <v>14.5</v>
      </c>
      <c r="E69" s="8">
        <v>14.7</v>
      </c>
      <c r="F69" s="8">
        <v>14.6</v>
      </c>
      <c r="G69" s="8">
        <v>14.2</v>
      </c>
      <c r="H69" s="8">
        <v>13.3</v>
      </c>
      <c r="I69" s="8">
        <v>12.9</v>
      </c>
      <c r="J69" s="8">
        <v>12.6</v>
      </c>
      <c r="K69" s="8">
        <v>12.3</v>
      </c>
      <c r="L69" s="8">
        <v>11.9</v>
      </c>
      <c r="M69" s="8">
        <v>11.6</v>
      </c>
      <c r="N69" s="10">
        <f t="shared" ref="N69:N100" si="2">IF(D69=0,"N/A",(M69/D69)-1)</f>
        <v>-0.20000000000000007</v>
      </c>
    </row>
    <row r="70" spans="1:14" ht="30" x14ac:dyDescent="0.2">
      <c r="A70" s="6">
        <v>66</v>
      </c>
      <c r="B70" s="7" t="s">
        <v>226</v>
      </c>
      <c r="C70" s="6" t="s">
        <v>227</v>
      </c>
      <c r="D70" s="8">
        <v>24.1</v>
      </c>
      <c r="E70" s="8">
        <v>24.1</v>
      </c>
      <c r="F70" s="8">
        <v>24.1</v>
      </c>
      <c r="G70" s="8">
        <v>24.1</v>
      </c>
      <c r="H70" s="8">
        <v>23.7</v>
      </c>
      <c r="I70" s="8">
        <v>23.6</v>
      </c>
      <c r="J70" s="8">
        <v>22.6</v>
      </c>
      <c r="K70" s="8">
        <v>22.3</v>
      </c>
      <c r="L70" s="8">
        <v>22.4</v>
      </c>
      <c r="M70" s="8">
        <v>22.3</v>
      </c>
      <c r="N70" s="10">
        <f t="shared" si="2"/>
        <v>-7.4688796680497993E-2</v>
      </c>
    </row>
    <row r="71" spans="1:14" x14ac:dyDescent="0.2">
      <c r="A71" s="6">
        <v>67</v>
      </c>
      <c r="B71" s="7" t="s">
        <v>229</v>
      </c>
      <c r="C71" s="6" t="s">
        <v>230</v>
      </c>
      <c r="D71" s="8">
        <v>8.3800000000000008</v>
      </c>
      <c r="E71" s="8">
        <v>8.56</v>
      </c>
      <c r="F71" s="8">
        <v>8.6300000000000008</v>
      </c>
      <c r="G71" s="8">
        <v>8.65</v>
      </c>
      <c r="H71" s="8">
        <v>8.94</v>
      </c>
      <c r="I71" s="8">
        <v>8.84</v>
      </c>
      <c r="J71" s="8">
        <v>8.7200000000000006</v>
      </c>
      <c r="K71" s="8">
        <v>8.75</v>
      </c>
      <c r="L71" s="8">
        <v>8.9600000000000009</v>
      </c>
      <c r="M71" s="8">
        <v>8.77</v>
      </c>
      <c r="N71" s="10">
        <f t="shared" si="2"/>
        <v>4.6539379474940246E-2</v>
      </c>
    </row>
    <row r="72" spans="1:14" ht="30" x14ac:dyDescent="0.2">
      <c r="A72" s="6">
        <v>68</v>
      </c>
      <c r="B72" s="7" t="s">
        <v>232</v>
      </c>
      <c r="C72" s="6" t="s">
        <v>233</v>
      </c>
      <c r="D72" s="8">
        <v>6.71</v>
      </c>
      <c r="E72" s="8">
        <v>6.22</v>
      </c>
      <c r="F72" s="8">
        <v>6.05</v>
      </c>
      <c r="G72" s="8">
        <v>6.06</v>
      </c>
      <c r="H72" s="8">
        <v>6.13</v>
      </c>
      <c r="I72" s="8">
        <v>6.35</v>
      </c>
      <c r="J72" s="8">
        <v>6.3</v>
      </c>
      <c r="K72" s="8">
        <v>6.48</v>
      </c>
      <c r="L72" s="8">
        <v>6.8</v>
      </c>
      <c r="M72" s="8">
        <v>7.02</v>
      </c>
      <c r="N72" s="10">
        <f t="shared" si="2"/>
        <v>4.6199701937406745E-2</v>
      </c>
    </row>
    <row r="73" spans="1:14" x14ac:dyDescent="0.2">
      <c r="A73" s="6">
        <v>69</v>
      </c>
      <c r="B73" s="7" t="s">
        <v>235</v>
      </c>
      <c r="C73" s="6" t="s">
        <v>236</v>
      </c>
      <c r="D73" s="8">
        <v>18.3</v>
      </c>
      <c r="E73" s="8">
        <v>18.2</v>
      </c>
      <c r="F73" s="8">
        <v>18.399999999999999</v>
      </c>
      <c r="G73" s="8">
        <v>18.5</v>
      </c>
      <c r="H73" s="8">
        <v>18.899999999999999</v>
      </c>
      <c r="I73" s="8">
        <v>19.399999999999999</v>
      </c>
      <c r="J73" s="8">
        <v>19.2</v>
      </c>
      <c r="K73" s="8">
        <v>19.3</v>
      </c>
      <c r="L73" s="8">
        <v>19.100000000000001</v>
      </c>
      <c r="M73" s="8">
        <v>19</v>
      </c>
      <c r="N73" s="10">
        <f t="shared" si="2"/>
        <v>3.8251366120218622E-2</v>
      </c>
    </row>
    <row r="74" spans="1:14" x14ac:dyDescent="0.2">
      <c r="A74" s="6">
        <v>70</v>
      </c>
      <c r="B74" s="7" t="s">
        <v>238</v>
      </c>
      <c r="C74" s="6" t="s">
        <v>239</v>
      </c>
      <c r="D74" s="8">
        <v>83.6</v>
      </c>
      <c r="E74" s="8">
        <v>82.1</v>
      </c>
      <c r="F74" s="8">
        <v>81.900000000000006</v>
      </c>
      <c r="G74" s="8">
        <v>80.8</v>
      </c>
      <c r="H74" s="8">
        <v>81.8</v>
      </c>
      <c r="I74" s="8">
        <v>88</v>
      </c>
      <c r="J74" s="8">
        <v>87.3</v>
      </c>
      <c r="K74" s="8">
        <v>84.3</v>
      </c>
      <c r="L74" s="8">
        <v>86.1</v>
      </c>
      <c r="M74" s="8">
        <v>88</v>
      </c>
      <c r="N74" s="10">
        <f t="shared" si="2"/>
        <v>5.2631578947368585E-2</v>
      </c>
    </row>
    <row r="75" spans="1:14" x14ac:dyDescent="0.2">
      <c r="A75" s="6">
        <v>71</v>
      </c>
      <c r="B75" s="7" t="s">
        <v>241</v>
      </c>
      <c r="C75" s="6" t="s">
        <v>242</v>
      </c>
      <c r="D75" s="8">
        <v>5.7</v>
      </c>
      <c r="E75" s="8">
        <v>5.7</v>
      </c>
      <c r="F75" s="8">
        <v>5.71</v>
      </c>
      <c r="G75" s="8">
        <v>5.68</v>
      </c>
      <c r="H75" s="8">
        <v>5.58</v>
      </c>
      <c r="I75" s="8">
        <v>5.57</v>
      </c>
      <c r="J75" s="8">
        <v>5.59</v>
      </c>
      <c r="K75" s="8">
        <v>5.64</v>
      </c>
      <c r="L75" s="8">
        <v>5.66</v>
      </c>
      <c r="M75" s="8">
        <v>5.67</v>
      </c>
      <c r="N75" s="10">
        <f t="shared" si="2"/>
        <v>-5.2631578947368585E-3</v>
      </c>
    </row>
    <row r="76" spans="1:14" x14ac:dyDescent="0.2">
      <c r="A76" s="6">
        <v>72</v>
      </c>
      <c r="B76" s="7" t="s">
        <v>244</v>
      </c>
      <c r="C76" s="6" t="s">
        <v>245</v>
      </c>
      <c r="D76" s="8">
        <v>12.1</v>
      </c>
      <c r="E76" s="8">
        <v>11.8</v>
      </c>
      <c r="F76" s="8">
        <v>12.1</v>
      </c>
      <c r="G76" s="8">
        <v>11.8</v>
      </c>
      <c r="H76" s="8">
        <v>11.1</v>
      </c>
      <c r="I76" s="8">
        <v>10.6</v>
      </c>
      <c r="J76" s="8">
        <v>9.66</v>
      </c>
      <c r="K76" s="8">
        <v>9.59</v>
      </c>
      <c r="L76" s="8">
        <v>9.9600000000000009</v>
      </c>
      <c r="M76" s="8">
        <v>9.98</v>
      </c>
      <c r="N76" s="10">
        <f t="shared" si="2"/>
        <v>-0.17520661157024786</v>
      </c>
    </row>
    <row r="77" spans="1:14" x14ac:dyDescent="0.2">
      <c r="A77" s="6">
        <v>73</v>
      </c>
      <c r="B77" s="7" t="s">
        <v>247</v>
      </c>
      <c r="C77" s="6" t="s">
        <v>248</v>
      </c>
      <c r="D77" s="8">
        <v>50.8</v>
      </c>
      <c r="E77" s="8">
        <v>53.2</v>
      </c>
      <c r="F77" s="8">
        <v>54.5</v>
      </c>
      <c r="G77" s="8">
        <v>53.1</v>
      </c>
      <c r="H77" s="8">
        <v>53.7</v>
      </c>
      <c r="I77" s="8">
        <v>55.2</v>
      </c>
      <c r="J77" s="8">
        <v>53.9</v>
      </c>
      <c r="K77" s="8">
        <v>52.5</v>
      </c>
      <c r="L77" s="8">
        <v>53.5</v>
      </c>
      <c r="M77" s="8">
        <v>55.1</v>
      </c>
      <c r="N77" s="10">
        <f t="shared" si="2"/>
        <v>8.4645669291338654E-2</v>
      </c>
    </row>
    <row r="78" spans="1:14" x14ac:dyDescent="0.2">
      <c r="A78" s="6">
        <v>74</v>
      </c>
      <c r="B78" s="7" t="s">
        <v>250</v>
      </c>
      <c r="C78" s="6" t="s">
        <v>251</v>
      </c>
      <c r="D78" s="8">
        <v>16.7</v>
      </c>
      <c r="E78" s="8">
        <v>16.7</v>
      </c>
      <c r="F78" s="8">
        <v>16.7</v>
      </c>
      <c r="G78" s="8">
        <v>16.7</v>
      </c>
      <c r="H78" s="8">
        <v>16.7</v>
      </c>
      <c r="I78" s="8">
        <v>16.7</v>
      </c>
      <c r="J78" s="8">
        <v>16.8</v>
      </c>
      <c r="K78" s="8">
        <v>17.100000000000001</v>
      </c>
      <c r="L78" s="8">
        <v>17.600000000000001</v>
      </c>
      <c r="M78" s="8">
        <v>18.2</v>
      </c>
      <c r="N78" s="10">
        <f t="shared" si="2"/>
        <v>8.9820359281437057E-2</v>
      </c>
    </row>
    <row r="79" spans="1:14" x14ac:dyDescent="0.2">
      <c r="A79" s="6">
        <v>75</v>
      </c>
      <c r="B79" s="7" t="s">
        <v>253</v>
      </c>
      <c r="C79" s="6" t="s">
        <v>254</v>
      </c>
      <c r="D79" s="8">
        <v>83.6</v>
      </c>
      <c r="E79" s="8">
        <v>80.7</v>
      </c>
      <c r="F79" s="8">
        <v>81.400000000000006</v>
      </c>
      <c r="G79" s="8">
        <v>75.5</v>
      </c>
      <c r="H79" s="8">
        <v>72</v>
      </c>
      <c r="I79" s="8">
        <v>76</v>
      </c>
      <c r="J79" s="8">
        <v>74.3</v>
      </c>
      <c r="K79" s="8">
        <v>66.099999999999994</v>
      </c>
      <c r="L79" s="8">
        <v>55.8</v>
      </c>
      <c r="M79" s="8">
        <v>48.7</v>
      </c>
      <c r="N79" s="10">
        <f t="shared" si="2"/>
        <v>-0.41746411483253576</v>
      </c>
    </row>
    <row r="80" spans="1:14" x14ac:dyDescent="0.2">
      <c r="A80" s="6">
        <v>76</v>
      </c>
      <c r="B80" s="7" t="s">
        <v>256</v>
      </c>
      <c r="C80" s="6" t="s">
        <v>257</v>
      </c>
      <c r="D80" s="8">
        <v>29</v>
      </c>
      <c r="E80" s="8">
        <v>28.9</v>
      </c>
      <c r="F80" s="8">
        <v>28.4</v>
      </c>
      <c r="G80" s="8">
        <v>26.9</v>
      </c>
      <c r="H80" s="8">
        <v>26.4</v>
      </c>
      <c r="I80" s="8">
        <v>25.3</v>
      </c>
      <c r="J80" s="8">
        <v>23</v>
      </c>
      <c r="K80" s="8">
        <v>22.1</v>
      </c>
      <c r="L80" s="8">
        <v>22</v>
      </c>
      <c r="M80" s="8">
        <v>21.6</v>
      </c>
      <c r="N80" s="10">
        <f t="shared" si="2"/>
        <v>-0.2551724137931034</v>
      </c>
    </row>
    <row r="81" spans="1:14" x14ac:dyDescent="0.2">
      <c r="A81" s="6">
        <v>77</v>
      </c>
      <c r="B81" s="7" t="s">
        <v>259</v>
      </c>
      <c r="C81" s="6" t="s">
        <v>260</v>
      </c>
      <c r="D81" s="8">
        <v>23.2</v>
      </c>
      <c r="E81" s="8">
        <v>23.3</v>
      </c>
      <c r="F81" s="8">
        <v>23.3</v>
      </c>
      <c r="G81" s="8">
        <v>23.4</v>
      </c>
      <c r="H81" s="8">
        <v>23.2</v>
      </c>
      <c r="I81" s="8">
        <v>23.6</v>
      </c>
      <c r="J81" s="8">
        <v>23.2</v>
      </c>
      <c r="K81" s="8">
        <v>22.7</v>
      </c>
      <c r="L81" s="8">
        <v>22.6</v>
      </c>
      <c r="M81" s="8">
        <v>22.5</v>
      </c>
      <c r="N81" s="10">
        <f t="shared" si="2"/>
        <v>-3.0172413793103425E-2</v>
      </c>
    </row>
    <row r="82" spans="1:14" x14ac:dyDescent="0.2">
      <c r="A82" s="6">
        <v>78</v>
      </c>
      <c r="B82" s="7" t="s">
        <v>262</v>
      </c>
      <c r="C82" s="6" t="s">
        <v>263</v>
      </c>
      <c r="D82" s="8">
        <v>83.6</v>
      </c>
      <c r="E82" s="8">
        <v>26.6</v>
      </c>
      <c r="F82" s="8">
        <v>88.9</v>
      </c>
      <c r="G82" s="8">
        <v>37.4</v>
      </c>
      <c r="H82" s="8">
        <v>40</v>
      </c>
      <c r="I82" s="8">
        <v>89.8</v>
      </c>
      <c r="J82" s="8">
        <v>42.9</v>
      </c>
      <c r="K82" s="8">
        <v>85</v>
      </c>
      <c r="L82" s="8">
        <v>48</v>
      </c>
      <c r="M82" s="8">
        <v>62.7</v>
      </c>
      <c r="N82" s="10">
        <f t="shared" si="2"/>
        <v>-0.24999999999999989</v>
      </c>
    </row>
    <row r="83" spans="1:14" ht="30" x14ac:dyDescent="0.2">
      <c r="A83" s="6">
        <v>79</v>
      </c>
      <c r="B83" s="7" t="s">
        <v>265</v>
      </c>
      <c r="C83" s="6" t="s">
        <v>266</v>
      </c>
      <c r="D83" s="8">
        <v>7.66</v>
      </c>
      <c r="E83" s="8">
        <v>7.75</v>
      </c>
      <c r="F83" s="8">
        <v>7.75</v>
      </c>
      <c r="G83" s="8">
        <v>7.83</v>
      </c>
      <c r="H83" s="8">
        <v>7.94</v>
      </c>
      <c r="I83" s="8">
        <v>8.06</v>
      </c>
      <c r="J83" s="8">
        <v>8.3699999999999992</v>
      </c>
      <c r="K83" s="8">
        <v>8.77</v>
      </c>
      <c r="L83" s="8">
        <v>8.7899999999999991</v>
      </c>
      <c r="M83" s="8">
        <v>8.6999999999999993</v>
      </c>
      <c r="N83" s="10">
        <f t="shared" si="2"/>
        <v>0.13577023498694496</v>
      </c>
    </row>
    <row r="84" spans="1:14" x14ac:dyDescent="0.2">
      <c r="A84" s="6">
        <v>80</v>
      </c>
      <c r="B84" s="7" t="s">
        <v>268</v>
      </c>
      <c r="C84" s="6" t="s">
        <v>269</v>
      </c>
      <c r="D84" s="8">
        <v>5.0199999999999996</v>
      </c>
      <c r="E84" s="8">
        <v>4.9800000000000004</v>
      </c>
      <c r="F84" s="8">
        <v>4.95</v>
      </c>
      <c r="G84" s="8">
        <v>5.53</v>
      </c>
      <c r="H84" s="8">
        <v>5.46</v>
      </c>
      <c r="I84" s="8">
        <v>5.48</v>
      </c>
      <c r="J84" s="8">
        <v>5.48</v>
      </c>
      <c r="K84" s="8">
        <v>5.49</v>
      </c>
      <c r="L84" s="8">
        <v>5.54</v>
      </c>
      <c r="M84" s="8">
        <v>5.49</v>
      </c>
      <c r="N84" s="10">
        <f t="shared" si="2"/>
        <v>9.3625498007968266E-2</v>
      </c>
    </row>
    <row r="85" spans="1:14" x14ac:dyDescent="0.2">
      <c r="A85" s="6">
        <v>81</v>
      </c>
      <c r="B85" s="7" t="s">
        <v>271</v>
      </c>
      <c r="C85" s="6" t="s">
        <v>272</v>
      </c>
      <c r="D85" s="8">
        <v>1.39</v>
      </c>
      <c r="E85" s="8">
        <v>1.4</v>
      </c>
      <c r="F85" s="8">
        <v>1.42</v>
      </c>
      <c r="G85" s="8">
        <v>1.43</v>
      </c>
      <c r="H85" s="8">
        <v>1.44</v>
      </c>
      <c r="I85" s="8">
        <v>1.45</v>
      </c>
      <c r="J85" s="8">
        <v>1.47</v>
      </c>
      <c r="K85" s="8">
        <v>1.49</v>
      </c>
      <c r="L85" s="8">
        <v>1.49</v>
      </c>
      <c r="M85" s="8">
        <v>1.51</v>
      </c>
      <c r="N85" s="10">
        <f t="shared" si="2"/>
        <v>8.6330935251798691E-2</v>
      </c>
    </row>
    <row r="86" spans="1:14" x14ac:dyDescent="0.2">
      <c r="A86" s="6">
        <v>82</v>
      </c>
      <c r="B86" s="7" t="s">
        <v>274</v>
      </c>
      <c r="C86" s="6" t="s">
        <v>275</v>
      </c>
      <c r="D86" s="8">
        <v>2.73</v>
      </c>
      <c r="E86" s="8">
        <v>2.73</v>
      </c>
      <c r="F86" s="8">
        <v>2.73</v>
      </c>
      <c r="G86" s="8">
        <v>2.74</v>
      </c>
      <c r="H86" s="8">
        <v>3.01</v>
      </c>
      <c r="I86" s="8">
        <v>3.03</v>
      </c>
      <c r="J86" s="8">
        <v>3.06</v>
      </c>
      <c r="K86" s="8">
        <v>3.11</v>
      </c>
      <c r="L86" s="8">
        <v>3.12</v>
      </c>
      <c r="M86" s="8">
        <v>3.14</v>
      </c>
      <c r="N86" s="10">
        <f t="shared" si="2"/>
        <v>0.15018315018315032</v>
      </c>
    </row>
    <row r="87" spans="1:14" x14ac:dyDescent="0.2">
      <c r="A87" s="6">
        <v>83</v>
      </c>
      <c r="B87" s="7" t="s">
        <v>277</v>
      </c>
      <c r="C87" s="6" t="s">
        <v>278</v>
      </c>
      <c r="D87" s="8">
        <v>23</v>
      </c>
      <c r="E87" s="8">
        <v>25</v>
      </c>
      <c r="F87" s="8">
        <v>27.5</v>
      </c>
      <c r="G87" s="8">
        <v>27.3</v>
      </c>
      <c r="H87" s="8">
        <v>25.9</v>
      </c>
      <c r="I87" s="8">
        <v>23.9</v>
      </c>
      <c r="J87" s="8">
        <v>23.6</v>
      </c>
      <c r="K87" s="8">
        <v>22.7</v>
      </c>
      <c r="L87" s="8">
        <v>22</v>
      </c>
      <c r="M87" s="8">
        <v>22.1</v>
      </c>
      <c r="N87" s="10">
        <f t="shared" si="2"/>
        <v>-3.9130434782608581E-2</v>
      </c>
    </row>
    <row r="88" spans="1:14" ht="30" x14ac:dyDescent="0.2">
      <c r="A88" s="6">
        <v>84</v>
      </c>
      <c r="B88" s="7" t="s">
        <v>280</v>
      </c>
      <c r="C88" s="6" t="s">
        <v>281</v>
      </c>
      <c r="D88" s="8">
        <v>28.4</v>
      </c>
      <c r="E88" s="8">
        <v>28.4</v>
      </c>
      <c r="F88" s="8">
        <v>28.4</v>
      </c>
      <c r="G88" s="8">
        <v>28.1</v>
      </c>
      <c r="H88" s="8">
        <v>27</v>
      </c>
      <c r="I88" s="8">
        <v>26.9</v>
      </c>
      <c r="J88" s="8">
        <v>26.5</v>
      </c>
      <c r="K88" s="8">
        <v>26.3</v>
      </c>
      <c r="L88" s="8">
        <v>26.3</v>
      </c>
      <c r="M88" s="8">
        <v>26.3</v>
      </c>
      <c r="N88" s="10">
        <f t="shared" si="2"/>
        <v>-7.3943661971830887E-2</v>
      </c>
    </row>
    <row r="89" spans="1:14" x14ac:dyDescent="0.2">
      <c r="A89" s="6">
        <v>85</v>
      </c>
      <c r="B89" s="7" t="s">
        <v>283</v>
      </c>
      <c r="C89" s="6" t="s">
        <v>284</v>
      </c>
      <c r="D89" s="8">
        <v>1.89</v>
      </c>
      <c r="E89" s="8">
        <v>1.86</v>
      </c>
      <c r="F89" s="8">
        <v>1.84</v>
      </c>
      <c r="G89" s="8">
        <v>1.83</v>
      </c>
      <c r="H89" s="8">
        <v>1.83</v>
      </c>
      <c r="I89" s="8">
        <v>1.81</v>
      </c>
      <c r="J89" s="8">
        <v>1.77</v>
      </c>
      <c r="K89" s="8">
        <v>1.78</v>
      </c>
      <c r="L89" s="8">
        <v>1.78</v>
      </c>
      <c r="M89" s="8">
        <v>1.79</v>
      </c>
      <c r="N89" s="10">
        <f t="shared" si="2"/>
        <v>-5.2910052910052796E-2</v>
      </c>
    </row>
    <row r="90" spans="1:14" x14ac:dyDescent="0.2">
      <c r="A90" s="6">
        <v>86</v>
      </c>
      <c r="B90" s="7" t="s">
        <v>286</v>
      </c>
      <c r="C90" s="6" t="s">
        <v>287</v>
      </c>
      <c r="D90" s="8">
        <v>27.1</v>
      </c>
      <c r="E90" s="8">
        <v>26.8</v>
      </c>
      <c r="F90" s="8">
        <v>27</v>
      </c>
      <c r="G90" s="8">
        <v>27</v>
      </c>
      <c r="H90" s="8">
        <v>27.4</v>
      </c>
      <c r="I90" s="8">
        <v>26.8</v>
      </c>
      <c r="J90" s="8">
        <v>25.8</v>
      </c>
      <c r="K90" s="8">
        <v>25.4</v>
      </c>
      <c r="L90" s="8">
        <v>25.2</v>
      </c>
      <c r="M90" s="8">
        <v>26</v>
      </c>
      <c r="N90" s="10">
        <f t="shared" si="2"/>
        <v>-4.0590405904059046E-2</v>
      </c>
    </row>
    <row r="91" spans="1:14" ht="30" x14ac:dyDescent="0.2">
      <c r="A91" s="6">
        <v>87</v>
      </c>
      <c r="B91" s="7" t="s">
        <v>289</v>
      </c>
      <c r="C91" s="6" t="s">
        <v>290</v>
      </c>
      <c r="D91" s="8">
        <v>5.99</v>
      </c>
      <c r="E91" s="8">
        <v>6.21</v>
      </c>
      <c r="F91" s="8">
        <v>6.25</v>
      </c>
      <c r="G91" s="8">
        <v>6.26</v>
      </c>
      <c r="H91" s="8">
        <v>6.22</v>
      </c>
      <c r="I91" s="8">
        <v>6.19</v>
      </c>
      <c r="J91" s="8">
        <v>6.04</v>
      </c>
      <c r="K91" s="8">
        <v>5.55</v>
      </c>
      <c r="L91" s="8">
        <v>5.33</v>
      </c>
      <c r="M91" s="8">
        <v>5.17</v>
      </c>
      <c r="N91" s="10">
        <f t="shared" si="2"/>
        <v>-0.13689482470784642</v>
      </c>
    </row>
    <row r="92" spans="1:14" x14ac:dyDescent="0.2">
      <c r="A92" s="6">
        <v>88</v>
      </c>
      <c r="B92" s="7" t="s">
        <v>292</v>
      </c>
      <c r="C92" s="6" t="s">
        <v>293</v>
      </c>
      <c r="D92" s="8">
        <v>14</v>
      </c>
      <c r="E92" s="8">
        <v>14.5</v>
      </c>
      <c r="F92" s="8">
        <v>15.1</v>
      </c>
      <c r="G92" s="8">
        <v>15.1</v>
      </c>
      <c r="H92" s="8">
        <v>14.9</v>
      </c>
      <c r="I92" s="8">
        <v>14.9</v>
      </c>
      <c r="J92" s="8">
        <v>14.8</v>
      </c>
      <c r="K92" s="8">
        <v>14.3</v>
      </c>
      <c r="L92" s="8">
        <v>13.6</v>
      </c>
      <c r="M92" s="8">
        <v>12.8</v>
      </c>
      <c r="N92" s="10">
        <f t="shared" si="2"/>
        <v>-8.5714285714285632E-2</v>
      </c>
    </row>
    <row r="93" spans="1:14" x14ac:dyDescent="0.2">
      <c r="A93" s="6">
        <v>89</v>
      </c>
      <c r="B93" s="7" t="s">
        <v>295</v>
      </c>
      <c r="C93" s="6" t="s">
        <v>296</v>
      </c>
      <c r="D93" s="8">
        <v>46.2</v>
      </c>
      <c r="E93" s="8">
        <v>57.9</v>
      </c>
      <c r="F93" s="8">
        <v>58.2</v>
      </c>
      <c r="G93" s="8">
        <v>56.2</v>
      </c>
      <c r="H93" s="8">
        <v>52.6</v>
      </c>
      <c r="I93" s="8">
        <v>51.7</v>
      </c>
      <c r="J93" s="8">
        <v>50.7</v>
      </c>
      <c r="K93" s="8">
        <v>52.7</v>
      </c>
      <c r="L93" s="8">
        <v>47</v>
      </c>
      <c r="M93" s="8">
        <v>46.2</v>
      </c>
      <c r="N93" s="10">
        <f t="shared" si="2"/>
        <v>0</v>
      </c>
    </row>
    <row r="94" spans="1:14" x14ac:dyDescent="0.2">
      <c r="A94" s="6">
        <v>90</v>
      </c>
      <c r="B94" s="7" t="s">
        <v>298</v>
      </c>
      <c r="C94" s="6" t="s">
        <v>299</v>
      </c>
      <c r="D94" s="8">
        <v>14.3</v>
      </c>
      <c r="E94" s="8">
        <v>14.4</v>
      </c>
      <c r="F94" s="8">
        <v>14.5</v>
      </c>
      <c r="G94" s="8">
        <v>14.6</v>
      </c>
      <c r="H94" s="8">
        <v>14.5</v>
      </c>
      <c r="I94" s="8">
        <v>14.4</v>
      </c>
      <c r="J94" s="8">
        <v>13.6</v>
      </c>
      <c r="K94" s="8">
        <v>13.6</v>
      </c>
      <c r="L94" s="8">
        <v>13.8</v>
      </c>
      <c r="M94" s="8">
        <v>13.9</v>
      </c>
      <c r="N94" s="10">
        <f t="shared" si="2"/>
        <v>-2.7972027972028024E-2</v>
      </c>
    </row>
    <row r="95" spans="1:14" x14ac:dyDescent="0.2">
      <c r="A95" s="6">
        <v>91</v>
      </c>
      <c r="B95" s="7" t="s">
        <v>301</v>
      </c>
      <c r="C95" s="6" t="s">
        <v>302</v>
      </c>
      <c r="D95" s="8">
        <v>6.27</v>
      </c>
      <c r="E95" s="8">
        <v>6.28</v>
      </c>
      <c r="F95" s="8">
        <v>6.28</v>
      </c>
      <c r="G95" s="8">
        <v>6.39</v>
      </c>
      <c r="H95" s="8">
        <v>6.44</v>
      </c>
      <c r="I95" s="8">
        <v>6.51</v>
      </c>
      <c r="J95" s="8">
        <v>6.48</v>
      </c>
      <c r="K95" s="8">
        <v>6.44</v>
      </c>
      <c r="L95" s="8">
        <v>6.34</v>
      </c>
      <c r="M95" s="8">
        <v>6.34</v>
      </c>
      <c r="N95" s="10">
        <f t="shared" si="2"/>
        <v>1.1164274322169154E-2</v>
      </c>
    </row>
    <row r="96" spans="1:14" ht="30" x14ac:dyDescent="0.2">
      <c r="A96" s="6">
        <v>92</v>
      </c>
      <c r="B96" s="7" t="s">
        <v>304</v>
      </c>
      <c r="C96" s="6" t="s">
        <v>305</v>
      </c>
      <c r="D96" s="8">
        <v>30</v>
      </c>
      <c r="E96" s="8">
        <v>29.6</v>
      </c>
      <c r="F96" s="8">
        <v>31.4</v>
      </c>
      <c r="G96" s="8">
        <v>32.799999999999997</v>
      </c>
      <c r="H96" s="8">
        <v>32.299999999999997</v>
      </c>
      <c r="I96" s="8">
        <v>33.9</v>
      </c>
      <c r="J96" s="8">
        <v>34</v>
      </c>
      <c r="K96" s="8">
        <v>33</v>
      </c>
      <c r="L96" s="8">
        <v>33.1</v>
      </c>
      <c r="M96" s="8">
        <v>32.299999999999997</v>
      </c>
      <c r="N96" s="10">
        <f t="shared" si="2"/>
        <v>7.6666666666666661E-2</v>
      </c>
    </row>
    <row r="97" spans="1:14" x14ac:dyDescent="0.2">
      <c r="A97" s="6">
        <v>93</v>
      </c>
      <c r="B97" s="7" t="s">
        <v>307</v>
      </c>
      <c r="C97" s="6" t="s">
        <v>308</v>
      </c>
      <c r="D97" s="8">
        <v>4.1100000000000003</v>
      </c>
      <c r="E97" s="8">
        <v>4.12</v>
      </c>
      <c r="F97" s="8">
        <v>4.13</v>
      </c>
      <c r="G97" s="8">
        <v>4.1100000000000003</v>
      </c>
      <c r="H97" s="8">
        <v>3.98</v>
      </c>
      <c r="I97" s="8">
        <v>3.93</v>
      </c>
      <c r="J97" s="8">
        <v>3.89</v>
      </c>
      <c r="K97" s="8">
        <v>3.89</v>
      </c>
      <c r="L97" s="8">
        <v>3.89</v>
      </c>
      <c r="M97" s="8">
        <v>3.92</v>
      </c>
      <c r="N97" s="10">
        <f t="shared" si="2"/>
        <v>-4.6228710462287159E-2</v>
      </c>
    </row>
    <row r="98" spans="1:14" x14ac:dyDescent="0.2">
      <c r="A98" s="6">
        <v>94</v>
      </c>
      <c r="B98" s="7" t="s">
        <v>310</v>
      </c>
      <c r="C98" s="6" t="s">
        <v>311</v>
      </c>
      <c r="D98" s="8">
        <v>39</v>
      </c>
      <c r="E98" s="8">
        <v>39.1</v>
      </c>
      <c r="F98" s="8">
        <v>38.6</v>
      </c>
      <c r="G98" s="8">
        <v>37.4</v>
      </c>
      <c r="H98" s="8">
        <v>35.799999999999997</v>
      </c>
      <c r="I98" s="8">
        <v>36.4</v>
      </c>
      <c r="J98" s="8">
        <v>36.6</v>
      </c>
      <c r="K98" s="8">
        <v>34.4</v>
      </c>
      <c r="L98" s="8">
        <v>30</v>
      </c>
      <c r="M98" s="8">
        <v>29.4</v>
      </c>
      <c r="N98" s="10">
        <f t="shared" si="2"/>
        <v>-0.24615384615384617</v>
      </c>
    </row>
    <row r="99" spans="1:14" x14ac:dyDescent="0.2">
      <c r="A99" s="6">
        <v>95</v>
      </c>
      <c r="B99" s="7" t="s">
        <v>313</v>
      </c>
      <c r="C99" s="6" t="s">
        <v>314</v>
      </c>
      <c r="D99" s="8">
        <v>37.9</v>
      </c>
      <c r="E99" s="8">
        <v>34.799999999999997</v>
      </c>
      <c r="F99" s="8">
        <v>34.5</v>
      </c>
      <c r="G99" s="8">
        <v>34.1</v>
      </c>
      <c r="H99" s="8">
        <v>33.9</v>
      </c>
      <c r="I99" s="8">
        <v>34</v>
      </c>
      <c r="J99" s="8">
        <v>34.200000000000003</v>
      </c>
      <c r="K99" s="8">
        <v>34.4</v>
      </c>
      <c r="L99" s="8">
        <v>34.700000000000003</v>
      </c>
      <c r="M99" s="8">
        <v>35</v>
      </c>
      <c r="N99" s="10">
        <f t="shared" si="2"/>
        <v>-7.6517150395778333E-2</v>
      </c>
    </row>
    <row r="100" spans="1:14" x14ac:dyDescent="0.2">
      <c r="A100" s="6">
        <v>96</v>
      </c>
      <c r="B100" s="7" t="s">
        <v>316</v>
      </c>
      <c r="C100" s="6" t="s">
        <v>317</v>
      </c>
      <c r="D100" s="8">
        <v>42.6</v>
      </c>
      <c r="E100" s="8">
        <v>44.2</v>
      </c>
      <c r="F100" s="8">
        <v>44.2</v>
      </c>
      <c r="G100" s="8">
        <v>44.1</v>
      </c>
      <c r="H100" s="8">
        <v>43.7</v>
      </c>
      <c r="I100" s="8">
        <v>43.1</v>
      </c>
      <c r="J100" s="8">
        <v>43.2</v>
      </c>
      <c r="K100" s="8">
        <v>43.4</v>
      </c>
      <c r="L100" s="8">
        <v>43.4</v>
      </c>
      <c r="M100" s="8">
        <v>43.7</v>
      </c>
      <c r="N100" s="10">
        <f t="shared" si="2"/>
        <v>2.5821596244131495E-2</v>
      </c>
    </row>
    <row r="101" spans="1:14" x14ac:dyDescent="0.2">
      <c r="A101" s="6">
        <v>97</v>
      </c>
      <c r="B101" s="7" t="s">
        <v>319</v>
      </c>
      <c r="C101" s="6" t="s">
        <v>320</v>
      </c>
      <c r="D101" s="8">
        <v>9.57</v>
      </c>
      <c r="E101" s="8">
        <v>10.7</v>
      </c>
      <c r="F101" s="8">
        <v>10.9</v>
      </c>
      <c r="G101" s="8">
        <v>11</v>
      </c>
      <c r="H101" s="8">
        <v>10.8</v>
      </c>
      <c r="I101" s="8">
        <v>10.5</v>
      </c>
      <c r="J101" s="8">
        <v>10.7</v>
      </c>
      <c r="K101" s="8">
        <v>10.3</v>
      </c>
      <c r="L101" s="8">
        <v>10.199999999999999</v>
      </c>
      <c r="M101" s="8">
        <v>10.199999999999999</v>
      </c>
      <c r="N101" s="10">
        <f t="shared" ref="N101:N132" si="3">IF(D101=0,"N/A",(M101/D101)-1)</f>
        <v>6.5830721003134585E-2</v>
      </c>
    </row>
    <row r="102" spans="1:14" x14ac:dyDescent="0.2">
      <c r="A102" s="6">
        <v>98</v>
      </c>
      <c r="B102" s="7" t="s">
        <v>322</v>
      </c>
      <c r="C102" s="6" t="s">
        <v>323</v>
      </c>
      <c r="D102" s="8">
        <v>2.48</v>
      </c>
      <c r="E102" s="8">
        <v>2.5</v>
      </c>
      <c r="F102" s="8">
        <v>2.5099999999999998</v>
      </c>
      <c r="G102" s="8">
        <v>2.5299999999999998</v>
      </c>
      <c r="H102" s="8">
        <v>2.52</v>
      </c>
      <c r="I102" s="8">
        <v>2.5299999999999998</v>
      </c>
      <c r="J102" s="8">
        <v>2.5499999999999998</v>
      </c>
      <c r="K102" s="8">
        <v>2.54</v>
      </c>
      <c r="L102" s="8">
        <v>2.5299999999999998</v>
      </c>
      <c r="M102" s="8">
        <v>2.54</v>
      </c>
      <c r="N102" s="10">
        <f t="shared" si="3"/>
        <v>2.4193548387096753E-2</v>
      </c>
    </row>
    <row r="103" spans="1:14" x14ac:dyDescent="0.2">
      <c r="A103" s="6">
        <v>99</v>
      </c>
      <c r="B103" s="7" t="s">
        <v>325</v>
      </c>
      <c r="C103" s="6" t="s">
        <v>326</v>
      </c>
      <c r="D103" s="8"/>
      <c r="E103" s="8">
        <v>3.43</v>
      </c>
      <c r="F103" s="8">
        <v>3.43</v>
      </c>
      <c r="G103" s="8">
        <v>3.43</v>
      </c>
      <c r="H103" s="8">
        <v>3.43</v>
      </c>
      <c r="I103" s="8">
        <v>3.42</v>
      </c>
      <c r="J103" s="8">
        <v>3.43</v>
      </c>
      <c r="K103" s="8">
        <v>3.42</v>
      </c>
      <c r="L103" s="8">
        <v>3.43</v>
      </c>
      <c r="M103" s="8">
        <v>3.43</v>
      </c>
      <c r="N103" s="10" t="str">
        <f t="shared" si="3"/>
        <v>N/A</v>
      </c>
    </row>
    <row r="104" spans="1:14" x14ac:dyDescent="0.2">
      <c r="A104" s="6">
        <v>100</v>
      </c>
      <c r="B104" s="7" t="s">
        <v>328</v>
      </c>
      <c r="C104" s="6" t="s">
        <v>329</v>
      </c>
      <c r="D104" s="8">
        <v>22.4</v>
      </c>
      <c r="E104" s="8">
        <v>22.5</v>
      </c>
      <c r="F104" s="8">
        <v>22.4</v>
      </c>
      <c r="G104" s="8">
        <v>22.4</v>
      </c>
      <c r="H104" s="8">
        <v>22.5</v>
      </c>
      <c r="I104" s="8">
        <v>23</v>
      </c>
      <c r="J104" s="8">
        <v>23.2</v>
      </c>
      <c r="K104" s="8">
        <v>24.3</v>
      </c>
      <c r="L104" s="8">
        <v>24.3</v>
      </c>
      <c r="M104" s="8">
        <v>24.3</v>
      </c>
      <c r="N104" s="10">
        <f t="shared" si="3"/>
        <v>8.4821428571428603E-2</v>
      </c>
    </row>
    <row r="105" spans="1:14" x14ac:dyDescent="0.2">
      <c r="A105" s="6">
        <v>101</v>
      </c>
      <c r="B105" s="7" t="s">
        <v>331</v>
      </c>
      <c r="C105" s="6" t="s">
        <v>332</v>
      </c>
      <c r="D105" s="8">
        <v>1.93</v>
      </c>
      <c r="E105" s="8">
        <v>1.92</v>
      </c>
      <c r="F105" s="8">
        <v>1.91</v>
      </c>
      <c r="G105" s="8">
        <v>1.89</v>
      </c>
      <c r="H105" s="8">
        <v>1.84</v>
      </c>
      <c r="I105" s="8">
        <v>1.81</v>
      </c>
      <c r="J105" s="8">
        <v>1.75</v>
      </c>
      <c r="K105" s="8">
        <v>1.7</v>
      </c>
      <c r="L105" s="8">
        <v>1.66</v>
      </c>
      <c r="M105" s="8">
        <v>1.65</v>
      </c>
      <c r="N105" s="10">
        <f t="shared" si="3"/>
        <v>-0.14507772020725396</v>
      </c>
    </row>
    <row r="106" spans="1:14" x14ac:dyDescent="0.2">
      <c r="A106" s="6">
        <v>102</v>
      </c>
      <c r="B106" s="7" t="s">
        <v>334</v>
      </c>
      <c r="C106" s="6" t="s">
        <v>335</v>
      </c>
      <c r="D106" s="8">
        <v>115.9</v>
      </c>
      <c r="E106" s="8">
        <v>115.9</v>
      </c>
      <c r="F106" s="8">
        <v>115.9</v>
      </c>
      <c r="G106" s="8">
        <v>115.8</v>
      </c>
      <c r="H106" s="8">
        <v>115.6</v>
      </c>
      <c r="I106" s="8">
        <v>115.5</v>
      </c>
      <c r="J106" s="8">
        <v>115.5</v>
      </c>
      <c r="K106" s="8">
        <v>115.1</v>
      </c>
      <c r="L106" s="8">
        <v>115</v>
      </c>
      <c r="M106" s="8">
        <v>115</v>
      </c>
      <c r="N106" s="10">
        <f t="shared" si="3"/>
        <v>-7.7653149266609933E-3</v>
      </c>
    </row>
    <row r="107" spans="1:14" x14ac:dyDescent="0.2">
      <c r="A107" s="6">
        <v>103</v>
      </c>
      <c r="B107" s="7" t="s">
        <v>337</v>
      </c>
      <c r="C107" s="6" t="s">
        <v>338</v>
      </c>
      <c r="D107" s="8">
        <v>45.3</v>
      </c>
      <c r="E107" s="8">
        <v>46.1</v>
      </c>
      <c r="F107" s="8">
        <v>49</v>
      </c>
      <c r="G107" s="8">
        <v>48.7</v>
      </c>
      <c r="H107" s="8">
        <v>48.6</v>
      </c>
      <c r="I107" s="8">
        <v>48.1</v>
      </c>
      <c r="J107" s="8">
        <v>47.6</v>
      </c>
      <c r="K107" s="8">
        <v>47</v>
      </c>
      <c r="L107" s="8">
        <v>50</v>
      </c>
      <c r="M107" s="8">
        <v>48.6</v>
      </c>
      <c r="N107" s="10">
        <f t="shared" si="3"/>
        <v>7.2847682119205448E-2</v>
      </c>
    </row>
    <row r="108" spans="1:14" x14ac:dyDescent="0.2">
      <c r="A108" s="6">
        <v>104</v>
      </c>
      <c r="B108" s="7" t="s">
        <v>340</v>
      </c>
      <c r="C108" s="6" t="s">
        <v>341</v>
      </c>
      <c r="D108" s="8">
        <v>27.3</v>
      </c>
      <c r="E108" s="8">
        <v>31.7</v>
      </c>
      <c r="F108" s="8">
        <v>31.8</v>
      </c>
      <c r="G108" s="8">
        <v>31.8</v>
      </c>
      <c r="H108" s="8">
        <v>33.799999999999997</v>
      </c>
      <c r="I108" s="8">
        <v>34.200000000000003</v>
      </c>
      <c r="J108" s="8">
        <v>33.299999999999997</v>
      </c>
      <c r="K108" s="8">
        <v>35.200000000000003</v>
      </c>
      <c r="L108" s="8">
        <v>29</v>
      </c>
      <c r="M108" s="8">
        <v>28.2</v>
      </c>
      <c r="N108" s="10">
        <f t="shared" si="3"/>
        <v>3.296703296703285E-2</v>
      </c>
    </row>
    <row r="109" spans="1:14" x14ac:dyDescent="0.2">
      <c r="A109" s="6">
        <v>105</v>
      </c>
      <c r="B109" s="7" t="s">
        <v>343</v>
      </c>
      <c r="C109" s="6" t="s">
        <v>344</v>
      </c>
      <c r="D109" s="8">
        <v>14.7</v>
      </c>
      <c r="E109" s="8">
        <v>14.1</v>
      </c>
      <c r="F109" s="8">
        <v>13.1</v>
      </c>
      <c r="G109" s="8">
        <v>11.7</v>
      </c>
      <c r="H109" s="8">
        <v>10.3</v>
      </c>
      <c r="I109" s="8">
        <v>9.01</v>
      </c>
      <c r="J109" s="8">
        <v>8.2200000000000006</v>
      </c>
      <c r="K109" s="8">
        <v>8.2200000000000006</v>
      </c>
      <c r="L109" s="8">
        <v>8.32</v>
      </c>
      <c r="M109" s="8">
        <v>8.3000000000000007</v>
      </c>
      <c r="N109" s="10">
        <f t="shared" si="3"/>
        <v>-0.43537414965986387</v>
      </c>
    </row>
    <row r="110" spans="1:14" x14ac:dyDescent="0.2">
      <c r="A110" s="6">
        <v>106</v>
      </c>
      <c r="B110" s="7" t="s">
        <v>346</v>
      </c>
      <c r="C110" s="6" t="s">
        <v>347</v>
      </c>
      <c r="D110" s="8">
        <v>10.8</v>
      </c>
      <c r="E110" s="8">
        <v>10.9</v>
      </c>
      <c r="F110" s="8">
        <v>10.9</v>
      </c>
      <c r="G110" s="8">
        <v>11</v>
      </c>
      <c r="H110" s="8">
        <v>11.2</v>
      </c>
      <c r="I110" s="8">
        <v>11.6</v>
      </c>
      <c r="J110" s="8">
        <v>11.4</v>
      </c>
      <c r="K110" s="8">
        <v>11.4</v>
      </c>
      <c r="L110" s="8">
        <v>11.4</v>
      </c>
      <c r="M110" s="8">
        <v>11.4</v>
      </c>
      <c r="N110" s="10">
        <f t="shared" si="3"/>
        <v>5.555555555555558E-2</v>
      </c>
    </row>
    <row r="111" spans="1:14" x14ac:dyDescent="0.2">
      <c r="A111" s="6">
        <v>107</v>
      </c>
      <c r="B111" s="7" t="s">
        <v>349</v>
      </c>
      <c r="C111" s="6" t="s">
        <v>350</v>
      </c>
      <c r="D111" s="8">
        <v>9.75</v>
      </c>
      <c r="E111" s="8">
        <v>9.7100000000000009</v>
      </c>
      <c r="F111" s="8">
        <v>9.69</v>
      </c>
      <c r="G111" s="8">
        <v>9.67</v>
      </c>
      <c r="H111" s="8">
        <v>9.6199999999999992</v>
      </c>
      <c r="I111" s="8">
        <v>9.57</v>
      </c>
      <c r="J111" s="8">
        <v>9.5</v>
      </c>
      <c r="K111" s="8">
        <v>9.44</v>
      </c>
      <c r="L111" s="8">
        <v>9.42</v>
      </c>
      <c r="M111" s="8">
        <v>9.41</v>
      </c>
      <c r="N111" s="10">
        <f t="shared" si="3"/>
        <v>-3.4871794871794815E-2</v>
      </c>
    </row>
    <row r="112" spans="1:14" x14ac:dyDescent="0.2">
      <c r="A112" s="6">
        <v>108</v>
      </c>
      <c r="B112" s="7" t="s">
        <v>352</v>
      </c>
      <c r="C112" s="6" t="s">
        <v>353</v>
      </c>
      <c r="D112" s="8">
        <v>9.85</v>
      </c>
      <c r="E112" s="8">
        <v>9.94</v>
      </c>
      <c r="F112" s="8">
        <v>10</v>
      </c>
      <c r="G112" s="8">
        <v>10</v>
      </c>
      <c r="H112" s="8">
        <v>10.1</v>
      </c>
      <c r="I112" s="8">
        <v>10.1</v>
      </c>
      <c r="J112" s="8">
        <v>10.199999999999999</v>
      </c>
      <c r="K112" s="8">
        <v>10.199999999999999</v>
      </c>
      <c r="L112" s="8">
        <v>10.199999999999999</v>
      </c>
      <c r="M112" s="8">
        <v>10.3</v>
      </c>
      <c r="N112" s="10">
        <f t="shared" si="3"/>
        <v>4.5685279187817285E-2</v>
      </c>
    </row>
    <row r="113" spans="1:14" x14ac:dyDescent="0.2">
      <c r="A113" s="6">
        <v>109</v>
      </c>
      <c r="B113" s="7" t="s">
        <v>355</v>
      </c>
      <c r="C113" s="6" t="s">
        <v>356</v>
      </c>
      <c r="D113" s="8">
        <v>30.9</v>
      </c>
      <c r="E113" s="8">
        <v>31.1</v>
      </c>
      <c r="F113" s="8">
        <v>31.6</v>
      </c>
      <c r="G113" s="8">
        <v>31.9</v>
      </c>
      <c r="H113" s="8">
        <v>32.1</v>
      </c>
      <c r="I113" s="8">
        <v>32.200000000000003</v>
      </c>
      <c r="J113" s="8">
        <v>32.200000000000003</v>
      </c>
      <c r="K113" s="8">
        <v>32.299999999999997</v>
      </c>
      <c r="L113" s="8">
        <v>32.799999999999997</v>
      </c>
      <c r="M113" s="8">
        <v>33.200000000000003</v>
      </c>
      <c r="N113" s="10">
        <f t="shared" si="3"/>
        <v>7.4433656957928918E-2</v>
      </c>
    </row>
    <row r="114" spans="1:14" x14ac:dyDescent="0.2">
      <c r="A114" s="6">
        <v>110</v>
      </c>
      <c r="B114" s="7" t="s">
        <v>358</v>
      </c>
      <c r="C114" s="6" t="s">
        <v>359</v>
      </c>
      <c r="D114" s="8">
        <v>47.4</v>
      </c>
      <c r="E114" s="8">
        <v>49.8</v>
      </c>
      <c r="F114" s="8">
        <v>50.3</v>
      </c>
      <c r="G114" s="8">
        <v>48.9</v>
      </c>
      <c r="H114" s="8">
        <v>48.8</v>
      </c>
      <c r="I114" s="8">
        <v>49.5</v>
      </c>
      <c r="J114" s="8">
        <v>47.7</v>
      </c>
      <c r="K114" s="8">
        <v>47</v>
      </c>
      <c r="L114" s="8">
        <v>46.1</v>
      </c>
      <c r="M114" s="8">
        <v>44.5</v>
      </c>
      <c r="N114" s="10">
        <f t="shared" si="3"/>
        <v>-6.1181434599156037E-2</v>
      </c>
    </row>
    <row r="115" spans="1:14" x14ac:dyDescent="0.2">
      <c r="A115" s="6">
        <v>111</v>
      </c>
      <c r="B115" s="7" t="s">
        <v>361</v>
      </c>
      <c r="C115" s="6" t="s">
        <v>362</v>
      </c>
      <c r="D115" s="8">
        <v>27.7</v>
      </c>
      <c r="E115" s="8">
        <v>27.7</v>
      </c>
      <c r="F115" s="8">
        <v>27.5</v>
      </c>
      <c r="G115" s="8">
        <v>27.9</v>
      </c>
      <c r="H115" s="8">
        <v>27.7</v>
      </c>
      <c r="I115" s="8">
        <v>28.4</v>
      </c>
      <c r="J115" s="8">
        <v>28.3</v>
      </c>
      <c r="K115" s="8">
        <v>28.6</v>
      </c>
      <c r="L115" s="8">
        <v>27.6</v>
      </c>
      <c r="M115" s="8">
        <v>27.5</v>
      </c>
      <c r="N115" s="10">
        <f t="shared" si="3"/>
        <v>-7.2202166064981865E-3</v>
      </c>
    </row>
    <row r="116" spans="1:14" x14ac:dyDescent="0.2">
      <c r="A116" s="6">
        <v>112</v>
      </c>
      <c r="B116" s="7" t="s">
        <v>364</v>
      </c>
      <c r="C116" s="6" t="s">
        <v>365</v>
      </c>
      <c r="D116" s="8">
        <v>14.3</v>
      </c>
      <c r="E116" s="8">
        <v>14.4</v>
      </c>
      <c r="F116" s="8">
        <v>14.5</v>
      </c>
      <c r="G116" s="8">
        <v>14.4</v>
      </c>
      <c r="H116" s="8">
        <v>14.2</v>
      </c>
      <c r="I116" s="8">
        <v>13.9</v>
      </c>
      <c r="J116" s="8">
        <v>13.7</v>
      </c>
      <c r="K116" s="8">
        <v>13.9</v>
      </c>
      <c r="L116" s="8">
        <v>14</v>
      </c>
      <c r="M116" s="8">
        <v>13.9</v>
      </c>
      <c r="N116" s="10">
        <f t="shared" si="3"/>
        <v>-2.7972027972028024E-2</v>
      </c>
    </row>
    <row r="117" spans="1:14" ht="30" x14ac:dyDescent="0.2">
      <c r="A117" s="6">
        <v>113</v>
      </c>
      <c r="B117" s="7" t="s">
        <v>367</v>
      </c>
      <c r="C117" s="6" t="s">
        <v>368</v>
      </c>
      <c r="D117" s="8">
        <v>4.8099999999999996</v>
      </c>
      <c r="E117" s="8">
        <v>4.7300000000000004</v>
      </c>
      <c r="F117" s="8">
        <v>4.63</v>
      </c>
      <c r="G117" s="8">
        <v>4.6100000000000003</v>
      </c>
      <c r="H117" s="8">
        <v>4.6100000000000003</v>
      </c>
      <c r="I117" s="8">
        <v>4.55</v>
      </c>
      <c r="J117" s="8">
        <v>4.55</v>
      </c>
      <c r="K117" s="8">
        <v>4.54</v>
      </c>
      <c r="L117" s="8">
        <v>4.5599999999999996</v>
      </c>
      <c r="M117" s="8">
        <v>4.6399999999999997</v>
      </c>
      <c r="N117" s="10">
        <f t="shared" si="3"/>
        <v>-3.5343035343035289E-2</v>
      </c>
    </row>
    <row r="118" spans="1:14" x14ac:dyDescent="0.2">
      <c r="A118" s="6">
        <v>114</v>
      </c>
      <c r="B118" s="7" t="s">
        <v>370</v>
      </c>
      <c r="C118" s="6" t="s">
        <v>371</v>
      </c>
      <c r="D118" s="8">
        <v>24.7</v>
      </c>
      <c r="E118" s="8">
        <v>24.7</v>
      </c>
      <c r="F118" s="8">
        <v>24.5</v>
      </c>
      <c r="G118" s="8">
        <v>24.3</v>
      </c>
      <c r="H118" s="8">
        <v>23.8</v>
      </c>
      <c r="I118" s="8">
        <v>23</v>
      </c>
      <c r="J118" s="8">
        <v>22.5</v>
      </c>
      <c r="K118" s="8">
        <v>21.8</v>
      </c>
      <c r="L118" s="8">
        <v>21.2</v>
      </c>
      <c r="M118" s="8">
        <v>20.8</v>
      </c>
      <c r="N118" s="10">
        <f t="shared" si="3"/>
        <v>-0.1578947368421052</v>
      </c>
    </row>
    <row r="119" spans="1:14" x14ac:dyDescent="0.2">
      <c r="A119" s="6">
        <v>115</v>
      </c>
      <c r="B119" s="7" t="s">
        <v>373</v>
      </c>
      <c r="C119" s="6" t="s">
        <v>374</v>
      </c>
      <c r="D119" s="8">
        <v>24.9</v>
      </c>
      <c r="E119" s="8">
        <v>24.1</v>
      </c>
      <c r="F119" s="8">
        <v>23.2</v>
      </c>
      <c r="G119" s="8">
        <v>22.5</v>
      </c>
      <c r="H119" s="8">
        <v>22.3</v>
      </c>
      <c r="I119" s="8">
        <v>22.8</v>
      </c>
      <c r="J119" s="8">
        <v>22.3</v>
      </c>
      <c r="K119" s="8">
        <v>22.6</v>
      </c>
      <c r="L119" s="8">
        <v>23.2</v>
      </c>
      <c r="M119" s="8">
        <v>21.9</v>
      </c>
      <c r="N119" s="10">
        <f t="shared" si="3"/>
        <v>-0.12048192771084343</v>
      </c>
    </row>
    <row r="120" spans="1:14" ht="30" x14ac:dyDescent="0.2">
      <c r="A120" s="6">
        <v>116</v>
      </c>
      <c r="B120" s="7" t="s">
        <v>376</v>
      </c>
      <c r="C120" s="6" t="s">
        <v>377</v>
      </c>
      <c r="D120" s="8">
        <v>16.399999999999999</v>
      </c>
      <c r="E120" s="8">
        <v>16.399999999999999</v>
      </c>
      <c r="F120" s="8">
        <v>17.5</v>
      </c>
      <c r="G120" s="8">
        <v>16.899999999999999</v>
      </c>
      <c r="H120" s="8">
        <v>17</v>
      </c>
      <c r="I120" s="8">
        <v>16.7</v>
      </c>
      <c r="J120" s="8">
        <v>16.600000000000001</v>
      </c>
      <c r="K120" s="8">
        <v>16.5</v>
      </c>
      <c r="L120" s="8">
        <v>15.5</v>
      </c>
      <c r="M120" s="8">
        <v>14.6</v>
      </c>
      <c r="N120" s="10">
        <f t="shared" si="3"/>
        <v>-0.1097560975609756</v>
      </c>
    </row>
    <row r="121" spans="1:14" x14ac:dyDescent="0.2">
      <c r="A121" s="6">
        <v>117</v>
      </c>
      <c r="B121" s="7" t="s">
        <v>379</v>
      </c>
      <c r="C121" s="6" t="s">
        <v>380</v>
      </c>
      <c r="D121" s="8">
        <v>11.6</v>
      </c>
      <c r="E121" s="8">
        <v>11.6</v>
      </c>
      <c r="F121" s="8">
        <v>12</v>
      </c>
      <c r="G121" s="8">
        <v>12</v>
      </c>
      <c r="H121" s="8">
        <v>12</v>
      </c>
      <c r="I121" s="8">
        <v>12.1</v>
      </c>
      <c r="J121" s="8">
        <v>12.2</v>
      </c>
      <c r="K121" s="8">
        <v>12.1</v>
      </c>
      <c r="L121" s="8">
        <v>12.1</v>
      </c>
      <c r="M121" s="8">
        <v>12</v>
      </c>
      <c r="N121" s="10">
        <f t="shared" si="3"/>
        <v>3.4482758620689724E-2</v>
      </c>
    </row>
    <row r="122" spans="1:14" x14ac:dyDescent="0.2">
      <c r="A122" s="6">
        <v>118</v>
      </c>
      <c r="B122" s="7" t="s">
        <v>382</v>
      </c>
      <c r="C122" s="6" t="s">
        <v>383</v>
      </c>
      <c r="D122" s="8">
        <v>41.5</v>
      </c>
      <c r="E122" s="8">
        <v>43.1</v>
      </c>
      <c r="F122" s="8">
        <v>51.4</v>
      </c>
      <c r="G122" s="8">
        <v>51.8</v>
      </c>
      <c r="H122" s="8">
        <v>49.8</v>
      </c>
      <c r="I122" s="8">
        <v>50.3</v>
      </c>
      <c r="J122" s="8">
        <v>50.3</v>
      </c>
      <c r="K122" s="8">
        <v>50.6</v>
      </c>
      <c r="L122" s="8">
        <v>50.7</v>
      </c>
      <c r="M122" s="8">
        <v>46.5</v>
      </c>
      <c r="N122" s="10">
        <f t="shared" si="3"/>
        <v>0.12048192771084332</v>
      </c>
    </row>
    <row r="123" spans="1:14" ht="30" x14ac:dyDescent="0.2">
      <c r="A123" s="6">
        <v>119</v>
      </c>
      <c r="B123" s="7" t="s">
        <v>385</v>
      </c>
      <c r="C123" s="6" t="s">
        <v>386</v>
      </c>
      <c r="D123" s="8">
        <v>10.199999999999999</v>
      </c>
      <c r="E123" s="8">
        <v>9.8800000000000008</v>
      </c>
      <c r="F123" s="8">
        <v>9.7200000000000006</v>
      </c>
      <c r="G123" s="8">
        <v>9.68</v>
      </c>
      <c r="H123" s="8">
        <v>9.32</v>
      </c>
      <c r="I123" s="8">
        <v>9.0399999999999991</v>
      </c>
      <c r="J123" s="8">
        <v>9.32</v>
      </c>
      <c r="K123" s="8">
        <v>9.2899999999999991</v>
      </c>
      <c r="L123" s="8">
        <v>9.35</v>
      </c>
      <c r="M123" s="8">
        <v>8.9</v>
      </c>
      <c r="N123" s="10">
        <f t="shared" si="3"/>
        <v>-0.12745098039215674</v>
      </c>
    </row>
    <row r="124" spans="1:14" x14ac:dyDescent="0.2">
      <c r="A124" s="6">
        <v>120</v>
      </c>
      <c r="B124" s="7" t="s">
        <v>388</v>
      </c>
      <c r="C124" s="6" t="s">
        <v>389</v>
      </c>
      <c r="D124" s="8">
        <v>30.2</v>
      </c>
      <c r="E124" s="8">
        <v>29.5</v>
      </c>
      <c r="F124" s="8">
        <v>28.7</v>
      </c>
      <c r="G124" s="8">
        <v>26.1</v>
      </c>
      <c r="H124" s="8">
        <v>25.5</v>
      </c>
      <c r="I124" s="8">
        <v>28.3</v>
      </c>
      <c r="J124" s="8">
        <v>24.5</v>
      </c>
      <c r="K124" s="8">
        <v>24</v>
      </c>
      <c r="L124" s="8">
        <v>26.3</v>
      </c>
      <c r="M124" s="8">
        <v>24.5</v>
      </c>
      <c r="N124" s="10">
        <f t="shared" si="3"/>
        <v>-0.1887417218543046</v>
      </c>
    </row>
    <row r="125" spans="1:14" ht="30" x14ac:dyDescent="0.2">
      <c r="A125" s="6">
        <v>121</v>
      </c>
      <c r="B125" s="7" t="s">
        <v>391</v>
      </c>
      <c r="C125" s="6" t="s">
        <v>392</v>
      </c>
      <c r="D125" s="8">
        <v>4.82</v>
      </c>
      <c r="E125" s="8">
        <v>4.82</v>
      </c>
      <c r="F125" s="8">
        <v>4.82</v>
      </c>
      <c r="G125" s="8">
        <v>4.82</v>
      </c>
      <c r="H125" s="8">
        <v>4.78</v>
      </c>
      <c r="I125" s="8">
        <v>4.75</v>
      </c>
      <c r="J125" s="8">
        <v>4.7</v>
      </c>
      <c r="K125" s="8">
        <v>4.5599999999999996</v>
      </c>
      <c r="L125" s="8">
        <v>4.54</v>
      </c>
      <c r="M125" s="8">
        <v>4.54</v>
      </c>
      <c r="N125" s="10">
        <f t="shared" si="3"/>
        <v>-5.8091286307053958E-2</v>
      </c>
    </row>
    <row r="126" spans="1:14" x14ac:dyDescent="0.2">
      <c r="A126" s="6">
        <v>122</v>
      </c>
      <c r="B126" s="7" t="s">
        <v>394</v>
      </c>
      <c r="C126" s="6" t="s">
        <v>395</v>
      </c>
      <c r="D126" s="8">
        <v>2.75</v>
      </c>
      <c r="E126" s="8">
        <v>2.87</v>
      </c>
      <c r="F126" s="8">
        <v>2.92</v>
      </c>
      <c r="G126" s="8">
        <v>2.98</v>
      </c>
      <c r="H126" s="8">
        <v>3.04</v>
      </c>
      <c r="I126" s="8">
        <v>3.1</v>
      </c>
      <c r="J126" s="8">
        <v>3.14</v>
      </c>
      <c r="K126" s="8">
        <v>3.18</v>
      </c>
      <c r="L126" s="8">
        <v>3.18</v>
      </c>
      <c r="M126" s="8">
        <v>3.08</v>
      </c>
      <c r="N126" s="10">
        <f t="shared" si="3"/>
        <v>0.12000000000000011</v>
      </c>
    </row>
    <row r="127" spans="1:14" x14ac:dyDescent="0.2">
      <c r="A127" s="6">
        <v>123</v>
      </c>
      <c r="B127" s="7" t="s">
        <v>397</v>
      </c>
      <c r="C127" s="6" t="s">
        <v>398</v>
      </c>
      <c r="D127" s="8">
        <v>3.25</v>
      </c>
      <c r="E127" s="8">
        <v>3.25</v>
      </c>
      <c r="F127" s="8">
        <v>3.26</v>
      </c>
      <c r="G127" s="8">
        <v>3.26</v>
      </c>
      <c r="H127" s="8">
        <v>3.21</v>
      </c>
      <c r="I127" s="8">
        <v>3.25</v>
      </c>
      <c r="J127" s="8">
        <v>3.25</v>
      </c>
      <c r="K127" s="8">
        <v>3.25</v>
      </c>
      <c r="L127" s="8">
        <v>3.21</v>
      </c>
      <c r="M127" s="8">
        <v>3.16</v>
      </c>
      <c r="N127" s="10">
        <f t="shared" si="3"/>
        <v>-2.7692307692307683E-2</v>
      </c>
    </row>
    <row r="128" spans="1:14" x14ac:dyDescent="0.2">
      <c r="A128" s="6">
        <v>124</v>
      </c>
      <c r="B128" s="7" t="s">
        <v>400</v>
      </c>
      <c r="C128" s="6" t="s">
        <v>401</v>
      </c>
      <c r="D128" s="8">
        <v>30.5</v>
      </c>
      <c r="E128" s="8">
        <v>31.1</v>
      </c>
      <c r="F128" s="8">
        <v>31</v>
      </c>
      <c r="G128" s="8">
        <v>28.9</v>
      </c>
      <c r="H128" s="8">
        <v>28.2</v>
      </c>
      <c r="I128" s="8">
        <v>29</v>
      </c>
      <c r="J128" s="8">
        <v>29</v>
      </c>
      <c r="K128" s="8">
        <v>28</v>
      </c>
      <c r="L128" s="8">
        <v>27.3</v>
      </c>
      <c r="M128" s="8">
        <v>27.3</v>
      </c>
      <c r="N128" s="10">
        <f t="shared" si="3"/>
        <v>-0.10491803278688527</v>
      </c>
    </row>
    <row r="129" spans="1:14" ht="30" x14ac:dyDescent="0.2">
      <c r="A129" s="6">
        <v>125</v>
      </c>
      <c r="B129" s="7" t="s">
        <v>403</v>
      </c>
      <c r="C129" s="6" t="s">
        <v>404</v>
      </c>
      <c r="D129" s="8"/>
      <c r="E129" s="8">
        <v>28.1</v>
      </c>
      <c r="F129" s="8">
        <v>30.6</v>
      </c>
      <c r="G129" s="8">
        <v>32.200000000000003</v>
      </c>
      <c r="H129" s="8">
        <v>31.2</v>
      </c>
      <c r="I129" s="8">
        <v>31.5</v>
      </c>
      <c r="J129" s="8">
        <v>31.2</v>
      </c>
      <c r="K129" s="8">
        <v>30.8</v>
      </c>
      <c r="L129" s="8">
        <v>30.9</v>
      </c>
      <c r="M129" s="8">
        <v>30.6</v>
      </c>
      <c r="N129" s="10" t="str">
        <f t="shared" si="3"/>
        <v>N/A</v>
      </c>
    </row>
    <row r="130" spans="1:14" x14ac:dyDescent="0.2">
      <c r="A130" s="6">
        <v>126</v>
      </c>
      <c r="B130" s="7" t="s">
        <v>406</v>
      </c>
      <c r="C130" s="6" t="s">
        <v>407</v>
      </c>
      <c r="D130" s="8">
        <v>24.2</v>
      </c>
      <c r="E130" s="8">
        <v>24.1</v>
      </c>
      <c r="F130" s="8">
        <v>24.2</v>
      </c>
      <c r="G130" s="8">
        <v>24.3</v>
      </c>
      <c r="H130" s="8">
        <v>24.4</v>
      </c>
      <c r="I130" s="8">
        <v>24.9</v>
      </c>
      <c r="J130" s="8">
        <v>23.9</v>
      </c>
      <c r="K130" s="8">
        <v>23.2</v>
      </c>
      <c r="L130" s="8">
        <v>23.6</v>
      </c>
      <c r="M130" s="8">
        <v>24.2</v>
      </c>
      <c r="N130" s="10">
        <f t="shared" si="3"/>
        <v>0</v>
      </c>
    </row>
    <row r="131" spans="1:14" ht="30" x14ac:dyDescent="0.2">
      <c r="A131" s="6">
        <v>127</v>
      </c>
      <c r="B131" s="7" t="s">
        <v>409</v>
      </c>
      <c r="C131" s="6" t="s">
        <v>410</v>
      </c>
      <c r="D131" s="8">
        <v>16.2</v>
      </c>
      <c r="E131" s="8">
        <v>16.399999999999999</v>
      </c>
      <c r="F131" s="8">
        <v>16.600000000000001</v>
      </c>
      <c r="G131" s="8">
        <v>16.3</v>
      </c>
      <c r="H131" s="8">
        <v>15</v>
      </c>
      <c r="I131" s="8">
        <v>18.3</v>
      </c>
      <c r="J131" s="8">
        <v>18.899999999999999</v>
      </c>
      <c r="K131" s="8">
        <v>18.100000000000001</v>
      </c>
      <c r="L131" s="8">
        <v>18.100000000000001</v>
      </c>
      <c r="M131" s="8">
        <v>18.7</v>
      </c>
      <c r="N131" s="10">
        <f t="shared" si="3"/>
        <v>0.15432098765432101</v>
      </c>
    </row>
    <row r="132" spans="1:14" ht="30" x14ac:dyDescent="0.2">
      <c r="A132" s="6">
        <v>128</v>
      </c>
      <c r="B132" s="7" t="s">
        <v>412</v>
      </c>
      <c r="C132" s="6" t="s">
        <v>413</v>
      </c>
      <c r="D132" s="8">
        <v>2.19</v>
      </c>
      <c r="E132" s="8">
        <v>2.1800000000000002</v>
      </c>
      <c r="F132" s="8">
        <v>2.1800000000000002</v>
      </c>
      <c r="G132" s="8">
        <v>2.1800000000000002</v>
      </c>
      <c r="H132" s="8">
        <v>2.16</v>
      </c>
      <c r="I132" s="8">
        <v>2.14</v>
      </c>
      <c r="J132" s="8">
        <v>2.13</v>
      </c>
      <c r="K132" s="8">
        <v>2.12</v>
      </c>
      <c r="L132" s="8">
        <v>2.12</v>
      </c>
      <c r="M132" s="8">
        <v>2.11</v>
      </c>
      <c r="N132" s="10">
        <f t="shared" si="3"/>
        <v>-3.6529680365296802E-2</v>
      </c>
    </row>
    <row r="133" spans="1:14" x14ac:dyDescent="0.2">
      <c r="A133" s="6">
        <v>129</v>
      </c>
      <c r="B133" s="7" t="s">
        <v>415</v>
      </c>
      <c r="C133" s="6" t="s">
        <v>416</v>
      </c>
      <c r="D133" s="8">
        <v>1.2</v>
      </c>
      <c r="E133" s="8">
        <v>1.18</v>
      </c>
      <c r="F133" s="8">
        <v>1.1499999999999999</v>
      </c>
      <c r="G133" s="8">
        <v>1.04</v>
      </c>
      <c r="H133" s="8">
        <v>1.04</v>
      </c>
      <c r="I133" s="8">
        <v>0.97199999999999998</v>
      </c>
      <c r="J133" s="8">
        <v>0.94</v>
      </c>
      <c r="K133" s="8">
        <v>0.91</v>
      </c>
      <c r="L133" s="8">
        <v>0.90900000000000003</v>
      </c>
      <c r="M133" s="8">
        <v>0.89900000000000002</v>
      </c>
      <c r="N133" s="10">
        <f t="shared" ref="N133:N154" si="4">IF(D133=0,"N/A",(M133/D133)-1)</f>
        <v>-0.25083333333333324</v>
      </c>
    </row>
    <row r="134" spans="1:14" x14ac:dyDescent="0.2">
      <c r="A134" s="6">
        <v>130</v>
      </c>
      <c r="B134" s="7" t="s">
        <v>418</v>
      </c>
      <c r="C134" s="6" t="s">
        <v>419</v>
      </c>
      <c r="D134" s="8">
        <v>2.61</v>
      </c>
      <c r="E134" s="8">
        <v>2.65</v>
      </c>
      <c r="F134" s="8">
        <v>2.71</v>
      </c>
      <c r="G134" s="8">
        <v>2.75</v>
      </c>
      <c r="H134" s="8">
        <v>2.79</v>
      </c>
      <c r="I134" s="8">
        <v>2.82</v>
      </c>
      <c r="J134" s="8">
        <v>2.83</v>
      </c>
      <c r="K134" s="8">
        <v>2.83</v>
      </c>
      <c r="L134" s="8">
        <v>2.82</v>
      </c>
      <c r="M134" s="8">
        <v>2.81</v>
      </c>
      <c r="N134" s="10">
        <f t="shared" si="4"/>
        <v>7.6628352490421436E-2</v>
      </c>
    </row>
    <row r="135" spans="1:14" x14ac:dyDescent="0.2">
      <c r="A135" s="6">
        <v>131</v>
      </c>
      <c r="B135" s="7" t="s">
        <v>421</v>
      </c>
      <c r="C135" s="6" t="s">
        <v>422</v>
      </c>
      <c r="D135" s="8">
        <v>33.299999999999997</v>
      </c>
      <c r="E135" s="8">
        <v>33.299999999999997</v>
      </c>
      <c r="F135" s="8">
        <v>33.299999999999997</v>
      </c>
      <c r="G135" s="8">
        <v>33.4</v>
      </c>
      <c r="H135" s="8">
        <v>33.4</v>
      </c>
      <c r="I135" s="8">
        <v>34.799999999999997</v>
      </c>
      <c r="J135" s="8">
        <v>37.299999999999997</v>
      </c>
      <c r="K135" s="8">
        <v>37.299999999999997</v>
      </c>
      <c r="L135" s="8">
        <v>37.299999999999997</v>
      </c>
      <c r="M135" s="8">
        <v>36.6</v>
      </c>
      <c r="N135" s="10">
        <f t="shared" si="4"/>
        <v>9.9099099099099197E-2</v>
      </c>
    </row>
    <row r="136" spans="1:14" x14ac:dyDescent="0.2">
      <c r="A136" s="6">
        <v>132</v>
      </c>
      <c r="B136" s="7" t="s">
        <v>424</v>
      </c>
      <c r="C136" s="6" t="s">
        <v>425</v>
      </c>
      <c r="D136" s="8">
        <v>31.2</v>
      </c>
      <c r="E136" s="8">
        <v>32.5</v>
      </c>
      <c r="F136" s="8">
        <v>33.6</v>
      </c>
      <c r="G136" s="8">
        <v>34.200000000000003</v>
      </c>
      <c r="H136" s="8">
        <v>34.5</v>
      </c>
      <c r="I136" s="8">
        <v>35.1</v>
      </c>
      <c r="J136" s="8">
        <v>35.1</v>
      </c>
      <c r="K136" s="8">
        <v>33.9</v>
      </c>
      <c r="L136" s="8">
        <v>31.8</v>
      </c>
      <c r="M136" s="8">
        <v>29.9</v>
      </c>
      <c r="N136" s="10">
        <f t="shared" si="4"/>
        <v>-4.1666666666666741E-2</v>
      </c>
    </row>
    <row r="137" spans="1:14" ht="30" x14ac:dyDescent="0.2">
      <c r="A137" s="6">
        <v>133</v>
      </c>
      <c r="B137" s="7" t="s">
        <v>427</v>
      </c>
      <c r="C137" s="6" t="s">
        <v>428</v>
      </c>
      <c r="D137" s="8">
        <v>8.2000000000000003E-2</v>
      </c>
      <c r="E137" s="8">
        <v>8.1000000000000003E-2</v>
      </c>
      <c r="F137" s="8">
        <v>8.1000000000000003E-2</v>
      </c>
      <c r="G137" s="8">
        <v>8.1000000000000003E-2</v>
      </c>
      <c r="H137" s="8">
        <v>8.1000000000000003E-2</v>
      </c>
      <c r="I137" s="8">
        <v>0.08</v>
      </c>
      <c r="J137" s="8">
        <v>7.9000000000000001E-2</v>
      </c>
      <c r="K137" s="8">
        <v>7.8E-2</v>
      </c>
      <c r="L137" s="8">
        <v>7.5999999999999998E-2</v>
      </c>
      <c r="M137" s="8">
        <v>7.5999999999999998E-2</v>
      </c>
      <c r="N137" s="10">
        <f t="shared" si="4"/>
        <v>-7.3170731707317138E-2</v>
      </c>
    </row>
    <row r="138" spans="1:14" x14ac:dyDescent="0.2">
      <c r="A138" s="6">
        <v>134</v>
      </c>
      <c r="B138" s="7" t="s">
        <v>430</v>
      </c>
      <c r="C138" s="6" t="s">
        <v>431</v>
      </c>
      <c r="D138" s="8">
        <v>84.4</v>
      </c>
      <c r="E138" s="8">
        <v>85.3</v>
      </c>
      <c r="F138" s="8">
        <v>85.7</v>
      </c>
      <c r="G138" s="8">
        <v>85.7</v>
      </c>
      <c r="H138" s="8">
        <v>84</v>
      </c>
      <c r="I138" s="8">
        <v>82.9</v>
      </c>
      <c r="J138" s="8">
        <v>82.6</v>
      </c>
      <c r="K138" s="8">
        <v>80.900000000000006</v>
      </c>
      <c r="L138" s="8">
        <v>79.8</v>
      </c>
      <c r="M138" s="8">
        <v>78.599999999999994</v>
      </c>
      <c r="N138" s="10">
        <f t="shared" si="4"/>
        <v>-6.872037914691953E-2</v>
      </c>
    </row>
    <row r="139" spans="1:14" x14ac:dyDescent="0.2">
      <c r="A139" s="6">
        <v>135</v>
      </c>
      <c r="B139" s="7" t="s">
        <v>433</v>
      </c>
      <c r="C139" s="6" t="s">
        <v>434</v>
      </c>
      <c r="D139" s="8">
        <v>10.8</v>
      </c>
      <c r="E139" s="8">
        <v>10.8</v>
      </c>
      <c r="F139" s="8">
        <v>10.9</v>
      </c>
      <c r="G139" s="8">
        <v>10.9</v>
      </c>
      <c r="H139" s="8">
        <v>10.9</v>
      </c>
      <c r="I139" s="8">
        <v>11</v>
      </c>
      <c r="J139" s="8">
        <v>11</v>
      </c>
      <c r="K139" s="8">
        <v>11.1</v>
      </c>
      <c r="L139" s="8">
        <v>11.1</v>
      </c>
      <c r="M139" s="8">
        <v>11.2</v>
      </c>
      <c r="N139" s="10">
        <f t="shared" si="4"/>
        <v>3.7037037037036979E-2</v>
      </c>
    </row>
    <row r="140" spans="1:14" x14ac:dyDescent="0.2">
      <c r="A140" s="6">
        <v>136</v>
      </c>
      <c r="B140" s="7" t="s">
        <v>436</v>
      </c>
      <c r="C140" s="6" t="s">
        <v>437</v>
      </c>
      <c r="D140" s="8">
        <v>15.7</v>
      </c>
      <c r="E140" s="8">
        <v>14.9</v>
      </c>
      <c r="F140" s="8">
        <v>14.6</v>
      </c>
      <c r="G140" s="8">
        <v>14.8</v>
      </c>
      <c r="H140" s="8">
        <v>14.9</v>
      </c>
      <c r="I140" s="8">
        <v>16.100000000000001</v>
      </c>
      <c r="J140" s="8">
        <v>15.3</v>
      </c>
      <c r="K140" s="8">
        <v>14.5</v>
      </c>
      <c r="L140" s="8">
        <v>13.6</v>
      </c>
      <c r="M140" s="8">
        <v>13.1</v>
      </c>
      <c r="N140" s="10">
        <f t="shared" si="4"/>
        <v>-0.16560509554140124</v>
      </c>
    </row>
    <row r="141" spans="1:14" x14ac:dyDescent="0.2">
      <c r="A141" s="6">
        <v>137</v>
      </c>
      <c r="B141" s="7" t="s">
        <v>439</v>
      </c>
      <c r="C141" s="6" t="s">
        <v>440</v>
      </c>
      <c r="D141" s="8">
        <v>20.2</v>
      </c>
      <c r="E141" s="8">
        <v>19.3</v>
      </c>
      <c r="F141" s="8">
        <v>19.5</v>
      </c>
      <c r="G141" s="8">
        <v>15.7</v>
      </c>
      <c r="H141" s="8">
        <v>14.2</v>
      </c>
      <c r="I141" s="8">
        <v>14.5</v>
      </c>
      <c r="J141" s="8">
        <v>12.7</v>
      </c>
      <c r="K141" s="8">
        <v>11.2</v>
      </c>
      <c r="L141" s="8">
        <v>10.8</v>
      </c>
      <c r="M141" s="8">
        <v>10.6</v>
      </c>
      <c r="N141" s="10">
        <f t="shared" si="4"/>
        <v>-0.47524752475247523</v>
      </c>
    </row>
    <row r="142" spans="1:14" x14ac:dyDescent="0.2">
      <c r="A142" s="6">
        <v>138</v>
      </c>
      <c r="B142" s="7" t="s">
        <v>442</v>
      </c>
      <c r="C142" s="6" t="s">
        <v>443</v>
      </c>
      <c r="D142" s="8">
        <v>49.3</v>
      </c>
      <c r="E142" s="8">
        <v>49.4</v>
      </c>
      <c r="F142" s="8">
        <v>48.7</v>
      </c>
      <c r="G142" s="8">
        <v>47.6</v>
      </c>
      <c r="H142" s="8">
        <v>47.7</v>
      </c>
      <c r="I142" s="8">
        <v>48</v>
      </c>
      <c r="J142" s="8">
        <v>44.9</v>
      </c>
      <c r="K142" s="8">
        <v>39.299999999999997</v>
      </c>
      <c r="L142" s="8">
        <v>38.200000000000003</v>
      </c>
      <c r="M142" s="8">
        <v>38.5</v>
      </c>
      <c r="N142" s="10">
        <f t="shared" si="4"/>
        <v>-0.2190669371196754</v>
      </c>
    </row>
    <row r="143" spans="1:14" ht="30" x14ac:dyDescent="0.2">
      <c r="A143" s="6">
        <v>139</v>
      </c>
      <c r="B143" s="7" t="s">
        <v>445</v>
      </c>
      <c r="C143" s="6" t="s">
        <v>446</v>
      </c>
      <c r="D143" s="8">
        <v>16.399999999999999</v>
      </c>
      <c r="E143" s="8">
        <v>16.5</v>
      </c>
      <c r="F143" s="8">
        <v>16.5</v>
      </c>
      <c r="G143" s="8">
        <v>16.8</v>
      </c>
      <c r="H143" s="8">
        <v>17.600000000000001</v>
      </c>
      <c r="I143" s="8">
        <v>17.600000000000001</v>
      </c>
      <c r="J143" s="8">
        <v>17.7</v>
      </c>
      <c r="K143" s="8">
        <v>17.8</v>
      </c>
      <c r="L143" s="8">
        <v>17.899999999999999</v>
      </c>
      <c r="M143" s="8">
        <v>18.100000000000001</v>
      </c>
      <c r="N143" s="10">
        <f t="shared" si="4"/>
        <v>0.10365853658536595</v>
      </c>
    </row>
    <row r="144" spans="1:14" x14ac:dyDescent="0.2">
      <c r="A144" s="6">
        <v>140</v>
      </c>
      <c r="B144" s="7" t="s">
        <v>448</v>
      </c>
      <c r="C144" s="6" t="s">
        <v>449</v>
      </c>
      <c r="D144" s="8">
        <v>27.1</v>
      </c>
      <c r="E144" s="8">
        <v>27.2</v>
      </c>
      <c r="F144" s="8">
        <v>28.6</v>
      </c>
      <c r="G144" s="8">
        <v>31.4</v>
      </c>
      <c r="H144" s="8">
        <v>32.299999999999997</v>
      </c>
      <c r="I144" s="8">
        <v>32</v>
      </c>
      <c r="J144" s="8">
        <v>31.9</v>
      </c>
      <c r="K144" s="8">
        <v>32.799999999999997</v>
      </c>
      <c r="L144" s="8">
        <v>30.1</v>
      </c>
      <c r="M144" s="8">
        <v>28</v>
      </c>
      <c r="N144" s="10">
        <f t="shared" si="4"/>
        <v>3.3210332103321027E-2</v>
      </c>
    </row>
    <row r="145" spans="1:14" x14ac:dyDescent="0.2">
      <c r="A145" s="6">
        <v>141</v>
      </c>
      <c r="B145" s="7" t="s">
        <v>451</v>
      </c>
      <c r="C145" s="6" t="s">
        <v>452</v>
      </c>
      <c r="D145" s="8">
        <v>22.5</v>
      </c>
      <c r="E145" s="8">
        <v>22.6</v>
      </c>
      <c r="F145" s="8">
        <v>22.7</v>
      </c>
      <c r="G145" s="8">
        <v>22.8</v>
      </c>
      <c r="H145" s="8">
        <v>22.8</v>
      </c>
      <c r="I145" s="8">
        <v>23</v>
      </c>
      <c r="J145" s="8">
        <v>22.9</v>
      </c>
      <c r="K145" s="8">
        <v>23</v>
      </c>
      <c r="L145" s="8">
        <v>23.5</v>
      </c>
      <c r="M145" s="8">
        <v>23.6</v>
      </c>
      <c r="N145" s="10">
        <f t="shared" si="4"/>
        <v>4.8888888888888982E-2</v>
      </c>
    </row>
    <row r="146" spans="1:14" x14ac:dyDescent="0.2">
      <c r="A146" s="6">
        <v>142</v>
      </c>
      <c r="B146" s="7" t="s">
        <v>454</v>
      </c>
      <c r="C146" s="6" t="s">
        <v>455</v>
      </c>
      <c r="D146" s="8">
        <v>7.82</v>
      </c>
      <c r="E146" s="8">
        <v>7.25</v>
      </c>
      <c r="F146" s="8">
        <v>8.5299999999999994</v>
      </c>
      <c r="G146" s="8">
        <v>8.15</v>
      </c>
      <c r="H146" s="8">
        <v>7.98</v>
      </c>
      <c r="I146" s="8">
        <v>8</v>
      </c>
      <c r="J146" s="8">
        <v>7.58</v>
      </c>
      <c r="K146" s="8">
        <v>7.38</v>
      </c>
      <c r="L146" s="8">
        <v>7.21</v>
      </c>
      <c r="M146" s="8">
        <v>6.93</v>
      </c>
      <c r="N146" s="10">
        <f t="shared" si="4"/>
        <v>-0.11381074168797956</v>
      </c>
    </row>
    <row r="147" spans="1:14" x14ac:dyDescent="0.2">
      <c r="A147" s="6">
        <v>143</v>
      </c>
      <c r="B147" s="7" t="s">
        <v>457</v>
      </c>
      <c r="C147" s="6" t="s">
        <v>458</v>
      </c>
      <c r="D147" s="8">
        <v>21.2</v>
      </c>
      <c r="E147" s="8">
        <v>21.5</v>
      </c>
      <c r="F147" s="8">
        <v>21.8</v>
      </c>
      <c r="G147" s="8">
        <v>21.9</v>
      </c>
      <c r="H147" s="8">
        <v>22.1</v>
      </c>
      <c r="I147" s="8">
        <v>22.2</v>
      </c>
      <c r="J147" s="8">
        <v>22.3</v>
      </c>
      <c r="K147" s="8">
        <v>22.5</v>
      </c>
      <c r="L147" s="8">
        <v>22.6</v>
      </c>
      <c r="M147" s="8">
        <v>22.7</v>
      </c>
      <c r="N147" s="10">
        <f t="shared" si="4"/>
        <v>7.0754716981132004E-2</v>
      </c>
    </row>
    <row r="148" spans="1:14" x14ac:dyDescent="0.2">
      <c r="A148" s="6">
        <v>144</v>
      </c>
      <c r="B148" s="7" t="s">
        <v>460</v>
      </c>
      <c r="C148" s="6" t="s">
        <v>461</v>
      </c>
      <c r="D148" s="8">
        <v>38.299999999999997</v>
      </c>
      <c r="E148" s="8">
        <v>39.700000000000003</v>
      </c>
      <c r="F148" s="8">
        <v>40.6</v>
      </c>
      <c r="G148" s="8">
        <v>39.299999999999997</v>
      </c>
      <c r="H148" s="8">
        <v>39.5</v>
      </c>
      <c r="I148" s="8">
        <v>39.5</v>
      </c>
      <c r="J148" s="8">
        <v>39.799999999999997</v>
      </c>
      <c r="K148" s="8">
        <v>39.200000000000003</v>
      </c>
      <c r="L148" s="8">
        <v>37.5</v>
      </c>
      <c r="M148" s="8">
        <v>41.4</v>
      </c>
      <c r="N148" s="10">
        <f t="shared" si="4"/>
        <v>8.0939947780678922E-2</v>
      </c>
    </row>
    <row r="149" spans="1:14" ht="30" x14ac:dyDescent="0.2">
      <c r="A149" s="6">
        <v>145</v>
      </c>
      <c r="B149" s="7" t="s">
        <v>463</v>
      </c>
      <c r="C149" s="6" t="s">
        <v>464</v>
      </c>
      <c r="D149" s="8">
        <v>3.13</v>
      </c>
      <c r="E149" s="8">
        <v>3.14</v>
      </c>
      <c r="F149" s="8">
        <v>3.14</v>
      </c>
      <c r="G149" s="8">
        <v>3.14</v>
      </c>
      <c r="H149" s="8">
        <v>3.15</v>
      </c>
      <c r="I149" s="8">
        <v>3.15</v>
      </c>
      <c r="J149" s="8">
        <v>3.15</v>
      </c>
      <c r="K149" s="8">
        <v>3.15</v>
      </c>
      <c r="L149" s="8">
        <v>3.16</v>
      </c>
      <c r="M149" s="8">
        <v>3.18</v>
      </c>
      <c r="N149" s="10">
        <f t="shared" si="4"/>
        <v>1.5974440894568787E-2</v>
      </c>
    </row>
    <row r="150" spans="1:14" x14ac:dyDescent="0.2">
      <c r="A150" s="6">
        <v>146</v>
      </c>
      <c r="B150" s="7" t="s">
        <v>466</v>
      </c>
      <c r="C150" s="6" t="s">
        <v>467</v>
      </c>
      <c r="D150" s="8">
        <v>4.24</v>
      </c>
      <c r="E150" s="8">
        <v>4.24</v>
      </c>
      <c r="F150" s="8">
        <v>4.24</v>
      </c>
      <c r="G150" s="8">
        <v>4.24</v>
      </c>
      <c r="H150" s="8">
        <v>4.24</v>
      </c>
      <c r="I150" s="8">
        <v>4.24</v>
      </c>
      <c r="J150" s="8">
        <v>4.24</v>
      </c>
      <c r="K150" s="8">
        <v>4.24</v>
      </c>
      <c r="L150" s="8">
        <v>4.24</v>
      </c>
      <c r="M150" s="8">
        <v>4.24</v>
      </c>
      <c r="N150" s="10">
        <f t="shared" si="4"/>
        <v>0</v>
      </c>
    </row>
    <row r="151" spans="1:14" x14ac:dyDescent="0.2">
      <c r="A151" s="6">
        <v>147</v>
      </c>
      <c r="B151" s="7" t="s">
        <v>469</v>
      </c>
      <c r="C151" s="6" t="s">
        <v>470</v>
      </c>
      <c r="D151" s="8">
        <v>1.21</v>
      </c>
      <c r="E151" s="8">
        <v>1.21</v>
      </c>
      <c r="F151" s="8">
        <v>1.21</v>
      </c>
      <c r="G151" s="8">
        <v>1.21</v>
      </c>
      <c r="H151" s="8">
        <v>1.21</v>
      </c>
      <c r="I151" s="8">
        <v>1.21</v>
      </c>
      <c r="J151" s="8">
        <v>1.21</v>
      </c>
      <c r="K151" s="8">
        <v>1.21</v>
      </c>
      <c r="L151" s="8">
        <v>1.21</v>
      </c>
      <c r="M151" s="8">
        <v>1.21</v>
      </c>
      <c r="N151" s="10">
        <f t="shared" si="4"/>
        <v>0</v>
      </c>
    </row>
    <row r="152" spans="1:14" ht="30" x14ac:dyDescent="0.2">
      <c r="A152" s="6">
        <v>148</v>
      </c>
      <c r="B152" s="7" t="s">
        <v>472</v>
      </c>
      <c r="C152" s="6" t="s">
        <v>473</v>
      </c>
      <c r="D152" s="8">
        <v>43.2</v>
      </c>
      <c r="E152" s="8">
        <v>43</v>
      </c>
      <c r="F152" s="8">
        <v>40.6</v>
      </c>
      <c r="G152" s="8">
        <v>36.1</v>
      </c>
      <c r="H152" s="8">
        <v>39.299999999999997</v>
      </c>
      <c r="I152" s="8">
        <v>48.9</v>
      </c>
      <c r="J152" s="8">
        <v>49.2</v>
      </c>
      <c r="K152" s="8">
        <v>46.1</v>
      </c>
      <c r="L152" s="8">
        <v>40.700000000000003</v>
      </c>
      <c r="M152" s="8">
        <v>35.5</v>
      </c>
      <c r="N152" s="10">
        <f t="shared" si="4"/>
        <v>-0.17824074074074081</v>
      </c>
    </row>
    <row r="153" spans="1:14" x14ac:dyDescent="0.2">
      <c r="A153" s="6">
        <v>149</v>
      </c>
      <c r="B153" s="7" t="s">
        <v>475</v>
      </c>
      <c r="C153" s="6" t="s">
        <v>476</v>
      </c>
      <c r="D153" s="8">
        <v>86.5</v>
      </c>
      <c r="E153" s="8">
        <v>86.8</v>
      </c>
      <c r="F153" s="8">
        <v>87</v>
      </c>
      <c r="G153" s="8">
        <v>82.6</v>
      </c>
      <c r="H153" s="8">
        <v>80.099999999999994</v>
      </c>
      <c r="I153" s="8">
        <v>80.400000000000006</v>
      </c>
      <c r="J153" s="8">
        <v>80.400000000000006</v>
      </c>
      <c r="K153" s="8">
        <v>79.7</v>
      </c>
      <c r="L153" s="8">
        <v>75.5</v>
      </c>
      <c r="M153" s="8">
        <v>72.7</v>
      </c>
      <c r="N153" s="10">
        <f t="shared" si="4"/>
        <v>-0.15953757225433518</v>
      </c>
    </row>
    <row r="154" spans="1:14" ht="30" x14ac:dyDescent="0.2">
      <c r="A154" s="6">
        <v>150</v>
      </c>
      <c r="B154" s="7" t="s">
        <v>478</v>
      </c>
      <c r="C154" s="6" t="s">
        <v>479</v>
      </c>
      <c r="D154" s="8">
        <v>2.5499999999999998</v>
      </c>
      <c r="E154" s="8">
        <v>2.56</v>
      </c>
      <c r="F154" s="8">
        <v>2.56</v>
      </c>
      <c r="G154" s="8">
        <v>2.56</v>
      </c>
      <c r="H154" s="8">
        <v>2.54</v>
      </c>
      <c r="I154" s="8">
        <v>2.54</v>
      </c>
      <c r="J154" s="8">
        <v>2.52</v>
      </c>
      <c r="K154" s="8">
        <v>2.5099999999999998</v>
      </c>
      <c r="L154" s="8">
        <v>2.5</v>
      </c>
      <c r="M154" s="8">
        <v>2.46</v>
      </c>
      <c r="N154" s="10">
        <f t="shared" si="4"/>
        <v>-3.5294117647058809E-2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309"/>
  <sheetViews>
    <sheetView zoomScaleNormal="100" workbookViewId="0">
      <pane xSplit="3" ySplit="5" topLeftCell="D6" activePane="bottomRight" state="frozen"/>
      <selection pane="topRight" activeCell="D1" sqref="D1"/>
      <selection pane="bottomLeft" activeCell="A6" sqref="A6"/>
      <selection pane="bottomRight"/>
    </sheetView>
  </sheetViews>
  <sheetFormatPr baseColWidth="10" defaultColWidth="8.6640625" defaultRowHeight="15" customHeight="1" x14ac:dyDescent="0.2"/>
  <cols>
    <col min="1" max="1" width="5" customWidth="1"/>
    <col min="2" max="2" width="32" customWidth="1"/>
    <col min="3" max="3" width="14" customWidth="1"/>
    <col min="4" max="13" width="11" customWidth="1"/>
  </cols>
  <sheetData>
    <row r="2" spans="1:13" ht="21" x14ac:dyDescent="0.25">
      <c r="B2" s="1" t="s">
        <v>1099</v>
      </c>
    </row>
    <row r="4" spans="1:13" ht="16" x14ac:dyDescent="0.2">
      <c r="B4" s="3" t="s">
        <v>1100</v>
      </c>
    </row>
    <row r="5" spans="1:13" ht="27.75" customHeight="1" x14ac:dyDescent="0.2">
      <c r="A5" s="5" t="s">
        <v>8</v>
      </c>
      <c r="B5" s="5" t="s">
        <v>9</v>
      </c>
      <c r="C5" s="5" t="s">
        <v>10</v>
      </c>
      <c r="D5" s="5" t="s">
        <v>1086</v>
      </c>
      <c r="E5" s="5" t="s">
        <v>1087</v>
      </c>
      <c r="F5" s="5" t="s">
        <v>1088</v>
      </c>
      <c r="G5" s="5" t="s">
        <v>1089</v>
      </c>
      <c r="H5" s="5" t="s">
        <v>1090</v>
      </c>
      <c r="I5" s="5" t="s">
        <v>1091</v>
      </c>
      <c r="J5" s="5" t="s">
        <v>1092</v>
      </c>
      <c r="K5" s="5" t="s">
        <v>1093</v>
      </c>
      <c r="L5" s="5" t="s">
        <v>1094</v>
      </c>
      <c r="M5" s="5" t="s">
        <v>1095</v>
      </c>
    </row>
    <row r="6" spans="1:13" ht="30" x14ac:dyDescent="0.2">
      <c r="A6" s="6">
        <v>1</v>
      </c>
      <c r="B6" s="7" t="s">
        <v>25</v>
      </c>
      <c r="C6" s="6" t="s">
        <v>26</v>
      </c>
      <c r="D6" s="8">
        <v>29.7</v>
      </c>
      <c r="E6" s="8">
        <v>28.4</v>
      </c>
      <c r="F6" s="8">
        <v>45.5</v>
      </c>
      <c r="G6" s="8">
        <v>56</v>
      </c>
      <c r="H6" s="8">
        <v>58.7</v>
      </c>
      <c r="I6" s="8">
        <v>66.3</v>
      </c>
      <c r="J6" s="8">
        <v>75.099999999999994</v>
      </c>
      <c r="K6" s="8">
        <v>88.3</v>
      </c>
      <c r="L6" s="8">
        <v>88.5</v>
      </c>
      <c r="M6" s="8">
        <v>93.6</v>
      </c>
    </row>
    <row r="7" spans="1:13" ht="30" x14ac:dyDescent="0.2">
      <c r="A7" s="6">
        <v>2</v>
      </c>
      <c r="B7" s="7" t="s">
        <v>30</v>
      </c>
      <c r="C7" s="6" t="s">
        <v>31</v>
      </c>
      <c r="D7" s="8">
        <v>-2.56</v>
      </c>
      <c r="E7" s="8">
        <v>1.1499999999999999</v>
      </c>
      <c r="F7" s="8">
        <v>1.33</v>
      </c>
      <c r="G7" s="8">
        <v>5.03</v>
      </c>
      <c r="H7" s="8">
        <v>12.3</v>
      </c>
      <c r="I7" s="8">
        <v>11.9</v>
      </c>
      <c r="J7" s="8">
        <v>24.8</v>
      </c>
      <c r="K7" s="8">
        <v>46.3</v>
      </c>
      <c r="L7" s="8">
        <v>47.1</v>
      </c>
      <c r="M7" s="8">
        <v>44.4</v>
      </c>
    </row>
    <row r="8" spans="1:13" x14ac:dyDescent="0.2">
      <c r="A8" s="6">
        <v>3</v>
      </c>
      <c r="B8" s="7" t="s">
        <v>34</v>
      </c>
      <c r="C8" s="6" t="s">
        <v>35</v>
      </c>
      <c r="D8" s="8">
        <v>32.6</v>
      </c>
      <c r="E8" s="8">
        <v>16.7</v>
      </c>
      <c r="F8" s="8">
        <v>54.7</v>
      </c>
      <c r="G8" s="8">
        <v>20.100000000000001</v>
      </c>
      <c r="H8" s="8">
        <v>71.8</v>
      </c>
      <c r="I8" s="8">
        <v>91.9</v>
      </c>
      <c r="J8" s="8">
        <v>76.099999999999994</v>
      </c>
      <c r="K8" s="8">
        <v>110.3</v>
      </c>
      <c r="L8" s="8">
        <v>35.9</v>
      </c>
      <c r="M8" s="8">
        <v>45.5</v>
      </c>
    </row>
    <row r="9" spans="1:13" x14ac:dyDescent="0.2">
      <c r="A9" s="6">
        <v>4</v>
      </c>
      <c r="B9" s="7" t="s">
        <v>37</v>
      </c>
      <c r="C9" s="6" t="s">
        <v>38</v>
      </c>
      <c r="D9" s="8">
        <v>12.9</v>
      </c>
      <c r="E9" s="8">
        <v>7.62</v>
      </c>
      <c r="F9" s="8">
        <v>22.5</v>
      </c>
      <c r="G9" s="8">
        <v>20.7</v>
      </c>
      <c r="H9" s="8">
        <v>24.5</v>
      </c>
      <c r="I9" s="8">
        <v>41.7</v>
      </c>
      <c r="J9" s="8">
        <v>43.6</v>
      </c>
      <c r="K9" s="8">
        <v>38.5</v>
      </c>
      <c r="L9" s="8">
        <v>46.7</v>
      </c>
      <c r="M9" s="8">
        <v>54.8</v>
      </c>
    </row>
    <row r="10" spans="1:13" x14ac:dyDescent="0.2">
      <c r="A10" s="6">
        <v>5</v>
      </c>
      <c r="B10" s="7" t="s">
        <v>40</v>
      </c>
      <c r="C10" s="6" t="s">
        <v>41</v>
      </c>
      <c r="D10" s="8">
        <v>7.67</v>
      </c>
      <c r="E10" s="8">
        <v>9.09</v>
      </c>
      <c r="F10" s="8">
        <v>11.5</v>
      </c>
      <c r="G10" s="8">
        <v>12.5</v>
      </c>
      <c r="H10" s="8">
        <v>13.7</v>
      </c>
      <c r="I10" s="8">
        <v>16.3</v>
      </c>
      <c r="J10" s="8">
        <v>22.9</v>
      </c>
      <c r="K10" s="8">
        <v>30.8</v>
      </c>
      <c r="L10" s="8">
        <v>24.9</v>
      </c>
      <c r="M10" s="8">
        <v>23.9</v>
      </c>
    </row>
    <row r="11" spans="1:13" ht="30" x14ac:dyDescent="0.2">
      <c r="A11" s="6">
        <v>6</v>
      </c>
      <c r="B11" s="7" t="s">
        <v>43</v>
      </c>
      <c r="C11" s="6" t="s">
        <v>44</v>
      </c>
      <c r="D11" s="8">
        <v>14.9</v>
      </c>
      <c r="E11" s="8">
        <v>11.9</v>
      </c>
      <c r="F11" s="8">
        <v>16.3</v>
      </c>
      <c r="G11" s="8">
        <v>23.3</v>
      </c>
      <c r="H11" s="8">
        <v>17</v>
      </c>
      <c r="I11" s="8">
        <v>35.799999999999997</v>
      </c>
      <c r="J11" s="8">
        <v>40.9</v>
      </c>
      <c r="K11" s="8">
        <v>37</v>
      </c>
      <c r="L11" s="8">
        <v>44.2</v>
      </c>
      <c r="M11" s="8">
        <v>50.3</v>
      </c>
    </row>
    <row r="12" spans="1:13" ht="30" x14ac:dyDescent="0.2">
      <c r="A12" s="6">
        <v>7</v>
      </c>
      <c r="B12" s="7" t="s">
        <v>47</v>
      </c>
      <c r="C12" s="6" t="s">
        <v>48</v>
      </c>
      <c r="D12" s="8">
        <v>31.9</v>
      </c>
      <c r="E12" s="8">
        <v>31.3</v>
      </c>
      <c r="F12" s="8">
        <v>42</v>
      </c>
      <c r="G12" s="8">
        <v>49.5</v>
      </c>
      <c r="H12" s="8">
        <v>44.1</v>
      </c>
      <c r="I12" s="8">
        <v>59</v>
      </c>
      <c r="J12" s="8">
        <v>61.1</v>
      </c>
      <c r="K12" s="8">
        <v>82.2</v>
      </c>
      <c r="L12" s="8">
        <v>79.599999999999994</v>
      </c>
      <c r="M12" s="8">
        <v>88.8</v>
      </c>
    </row>
    <row r="13" spans="1:13" x14ac:dyDescent="0.2">
      <c r="A13" s="6">
        <v>8</v>
      </c>
      <c r="B13" s="7" t="s">
        <v>50</v>
      </c>
      <c r="C13" s="6" t="s">
        <v>51</v>
      </c>
      <c r="D13" s="8">
        <v>40.5</v>
      </c>
      <c r="E13" s="8">
        <v>38.4</v>
      </c>
      <c r="F13" s="8">
        <v>72</v>
      </c>
      <c r="G13" s="8">
        <v>58.4</v>
      </c>
      <c r="H13" s="8">
        <v>-28.6</v>
      </c>
      <c r="I13" s="8">
        <v>66.900000000000006</v>
      </c>
      <c r="J13" s="8">
        <v>55.3</v>
      </c>
      <c r="K13" s="8">
        <v>76.7</v>
      </c>
      <c r="L13" s="8">
        <v>17.3</v>
      </c>
      <c r="M13" s="8">
        <v>85.2</v>
      </c>
    </row>
    <row r="14" spans="1:13" x14ac:dyDescent="0.2">
      <c r="A14" s="6">
        <v>9</v>
      </c>
      <c r="B14" s="7" t="s">
        <v>54</v>
      </c>
      <c r="C14" s="6" t="s">
        <v>55</v>
      </c>
      <c r="D14" s="8">
        <v>17.8</v>
      </c>
      <c r="E14" s="8">
        <v>27.7</v>
      </c>
      <c r="F14" s="8">
        <v>55.8</v>
      </c>
      <c r="G14" s="8">
        <v>77.900000000000006</v>
      </c>
      <c r="H14" s="8">
        <v>102.9</v>
      </c>
      <c r="I14" s="8">
        <v>164</v>
      </c>
      <c r="J14" s="8">
        <v>143.6</v>
      </c>
      <c r="K14" s="8">
        <v>99.4</v>
      </c>
      <c r="L14" s="8">
        <v>2.09</v>
      </c>
      <c r="M14" s="8">
        <v>-18.7</v>
      </c>
    </row>
    <row r="15" spans="1:13" ht="30" x14ac:dyDescent="0.2">
      <c r="A15" s="6">
        <v>10</v>
      </c>
      <c r="B15" s="7" t="s">
        <v>57</v>
      </c>
      <c r="C15" s="6" t="s">
        <v>58</v>
      </c>
      <c r="D15" s="8">
        <v>9.93</v>
      </c>
      <c r="E15" s="8">
        <v>12.9</v>
      </c>
      <c r="F15" s="8">
        <v>16.3</v>
      </c>
      <c r="G15" s="8">
        <v>18.5</v>
      </c>
      <c r="H15" s="8">
        <v>19.8</v>
      </c>
      <c r="I15" s="8">
        <v>26.9</v>
      </c>
      <c r="J15" s="8">
        <v>30.2</v>
      </c>
      <c r="K15" s="8">
        <v>26.7</v>
      </c>
      <c r="L15" s="8">
        <v>26.3</v>
      </c>
      <c r="M15" s="8">
        <v>36.5</v>
      </c>
    </row>
    <row r="16" spans="1:13" x14ac:dyDescent="0.2">
      <c r="A16" s="6">
        <v>11</v>
      </c>
      <c r="B16" s="7" t="s">
        <v>60</v>
      </c>
      <c r="C16" s="6" t="s">
        <v>61</v>
      </c>
      <c r="D16" s="8">
        <v>5.85</v>
      </c>
      <c r="E16" s="8">
        <v>4.05</v>
      </c>
      <c r="F16" s="8">
        <v>4.5999999999999996</v>
      </c>
      <c r="G16" s="8">
        <v>5.51</v>
      </c>
      <c r="H16" s="8">
        <v>8.1</v>
      </c>
      <c r="I16" s="8">
        <v>13.7</v>
      </c>
      <c r="J16" s="8">
        <v>3.04</v>
      </c>
      <c r="K16" s="8">
        <v>17.8</v>
      </c>
      <c r="L16" s="8">
        <v>10</v>
      </c>
      <c r="M16" s="8">
        <v>10.199999999999999</v>
      </c>
    </row>
    <row r="17" spans="1:13" x14ac:dyDescent="0.2">
      <c r="A17" s="6">
        <v>12</v>
      </c>
      <c r="B17" s="7" t="s">
        <v>63</v>
      </c>
      <c r="C17" s="6" t="s">
        <v>64</v>
      </c>
      <c r="D17" s="8">
        <v>17.600000000000001</v>
      </c>
      <c r="E17" s="8">
        <v>19.5</v>
      </c>
      <c r="F17" s="8">
        <v>29.7</v>
      </c>
      <c r="G17" s="8">
        <v>36</v>
      </c>
      <c r="H17" s="8">
        <v>35.4</v>
      </c>
      <c r="I17" s="8">
        <v>43</v>
      </c>
      <c r="J17" s="8">
        <v>33.700000000000003</v>
      </c>
      <c r="K17" s="8">
        <v>34.799999999999997</v>
      </c>
      <c r="L17" s="8">
        <v>40.6</v>
      </c>
      <c r="M17" s="8">
        <v>42.3</v>
      </c>
    </row>
    <row r="18" spans="1:13" x14ac:dyDescent="0.2">
      <c r="A18" s="6">
        <v>13</v>
      </c>
      <c r="B18" s="7" t="s">
        <v>66</v>
      </c>
      <c r="C18" s="6" t="s">
        <v>67</v>
      </c>
      <c r="D18" s="8">
        <v>38.4</v>
      </c>
      <c r="E18" s="8">
        <v>29.1</v>
      </c>
      <c r="F18" s="8">
        <v>46.6</v>
      </c>
      <c r="G18" s="8">
        <v>48.9</v>
      </c>
      <c r="H18" s="8">
        <v>53.8</v>
      </c>
      <c r="I18" s="8">
        <v>53</v>
      </c>
      <c r="J18" s="8">
        <v>71.099999999999994</v>
      </c>
      <c r="K18" s="8">
        <v>60.7</v>
      </c>
      <c r="L18" s="8">
        <v>47.3</v>
      </c>
      <c r="M18" s="8">
        <v>79.2</v>
      </c>
    </row>
    <row r="19" spans="1:13" x14ac:dyDescent="0.2">
      <c r="A19" s="6">
        <v>14</v>
      </c>
      <c r="B19" s="7" t="s">
        <v>69</v>
      </c>
      <c r="C19" s="6" t="s">
        <v>70</v>
      </c>
      <c r="D19" s="8">
        <v>4.16</v>
      </c>
      <c r="E19" s="8">
        <v>4.8499999999999996</v>
      </c>
      <c r="F19" s="8">
        <v>7.02</v>
      </c>
      <c r="G19" s="8">
        <v>7.27</v>
      </c>
      <c r="H19" s="8">
        <v>6.27</v>
      </c>
      <c r="I19" s="8">
        <v>5.15</v>
      </c>
      <c r="J19" s="8">
        <v>10.5</v>
      </c>
      <c r="K19" s="8">
        <v>18.100000000000001</v>
      </c>
      <c r="L19" s="8">
        <v>16.600000000000001</v>
      </c>
      <c r="M19" s="8">
        <v>14.5</v>
      </c>
    </row>
    <row r="20" spans="1:13" ht="30" x14ac:dyDescent="0.2">
      <c r="A20" s="6">
        <v>15</v>
      </c>
      <c r="B20" s="7" t="s">
        <v>72</v>
      </c>
      <c r="C20" s="6" t="s">
        <v>73</v>
      </c>
      <c r="D20" s="8">
        <v>64.599999999999994</v>
      </c>
      <c r="E20" s="8">
        <v>62.4</v>
      </c>
      <c r="F20" s="8">
        <v>83.2</v>
      </c>
      <c r="G20" s="8">
        <v>99.6</v>
      </c>
      <c r="H20" s="8">
        <v>138.19999999999999</v>
      </c>
      <c r="I20" s="8">
        <v>130.69999999999999</v>
      </c>
      <c r="J20" s="8">
        <v>46.6</v>
      </c>
      <c r="K20" s="8">
        <v>18.899999999999999</v>
      </c>
      <c r="L20" s="8">
        <v>70.7</v>
      </c>
      <c r="M20" s="8">
        <v>99.3</v>
      </c>
    </row>
    <row r="21" spans="1:13" ht="30" x14ac:dyDescent="0.2">
      <c r="A21" s="6">
        <v>16</v>
      </c>
      <c r="B21" s="7" t="s">
        <v>76</v>
      </c>
      <c r="C21" s="6" t="s">
        <v>77</v>
      </c>
      <c r="D21" s="8">
        <v>9.18</v>
      </c>
      <c r="E21" s="8">
        <v>10.3</v>
      </c>
      <c r="F21" s="8">
        <v>13.4</v>
      </c>
      <c r="G21" s="8">
        <v>14.1</v>
      </c>
      <c r="H21" s="8">
        <v>11.4</v>
      </c>
      <c r="I21" s="8">
        <v>15.1</v>
      </c>
      <c r="J21" s="8">
        <v>16.100000000000001</v>
      </c>
      <c r="K21" s="8">
        <v>15.5</v>
      </c>
      <c r="L21" s="8">
        <v>16.399999999999999</v>
      </c>
      <c r="M21" s="8">
        <v>19.8</v>
      </c>
    </row>
    <row r="22" spans="1:13" x14ac:dyDescent="0.2">
      <c r="A22" s="6">
        <v>17</v>
      </c>
      <c r="B22" s="7" t="s">
        <v>79</v>
      </c>
      <c r="C22" s="6" t="s">
        <v>80</v>
      </c>
      <c r="D22" s="8">
        <v>-30.4</v>
      </c>
      <c r="E22" s="8">
        <v>33.5</v>
      </c>
      <c r="F22" s="8">
        <v>27.4</v>
      </c>
      <c r="G22" s="8">
        <v>36</v>
      </c>
      <c r="H22" s="8">
        <v>-197.7</v>
      </c>
      <c r="I22" s="8">
        <v>33.9</v>
      </c>
      <c r="J22" s="8">
        <v>10.6</v>
      </c>
      <c r="K22" s="8">
        <v>22.4</v>
      </c>
      <c r="L22" s="8">
        <v>29.3</v>
      </c>
      <c r="M22" s="8">
        <v>21.3</v>
      </c>
    </row>
    <row r="23" spans="1:13" x14ac:dyDescent="0.2">
      <c r="A23" s="6">
        <v>18</v>
      </c>
      <c r="B23" s="7" t="s">
        <v>82</v>
      </c>
      <c r="C23" s="6" t="s">
        <v>83</v>
      </c>
      <c r="D23" s="8">
        <v>13.5</v>
      </c>
      <c r="E23" s="8">
        <v>6.57</v>
      </c>
      <c r="F23" s="8">
        <v>18</v>
      </c>
      <c r="G23" s="8">
        <v>18.899999999999999</v>
      </c>
      <c r="H23" s="8">
        <v>22.1</v>
      </c>
      <c r="I23" s="8">
        <v>28.7</v>
      </c>
      <c r="J23" s="8">
        <v>29.2</v>
      </c>
      <c r="K23" s="8">
        <v>23.6</v>
      </c>
      <c r="L23" s="8">
        <v>19.8</v>
      </c>
      <c r="M23" s="8">
        <v>26.8</v>
      </c>
    </row>
    <row r="24" spans="1:13" x14ac:dyDescent="0.2">
      <c r="A24" s="6">
        <v>19</v>
      </c>
      <c r="B24" s="7" t="s">
        <v>85</v>
      </c>
      <c r="C24" s="6" t="s">
        <v>86</v>
      </c>
      <c r="D24" s="8">
        <v>26.7</v>
      </c>
      <c r="E24" s="8">
        <v>51.5</v>
      </c>
      <c r="F24" s="8">
        <v>104.6</v>
      </c>
      <c r="G24" s="8">
        <v>120.9</v>
      </c>
      <c r="H24" s="8">
        <v>54.2</v>
      </c>
      <c r="I24" s="8">
        <v>84.3</v>
      </c>
      <c r="J24" s="8">
        <v>49.3</v>
      </c>
      <c r="K24" s="8">
        <v>38.1</v>
      </c>
      <c r="L24" s="8">
        <v>50.4</v>
      </c>
      <c r="M24" s="8">
        <v>15.7</v>
      </c>
    </row>
    <row r="25" spans="1:13" ht="30" x14ac:dyDescent="0.2">
      <c r="A25" s="6">
        <v>20</v>
      </c>
      <c r="B25" s="7" t="s">
        <v>88</v>
      </c>
      <c r="C25" s="6" t="s">
        <v>89</v>
      </c>
      <c r="D25" s="8">
        <v>11.7</v>
      </c>
      <c r="E25" s="8">
        <v>10.9</v>
      </c>
      <c r="F25" s="8">
        <v>26.2</v>
      </c>
      <c r="G25" s="8">
        <v>30.8</v>
      </c>
      <c r="H25" s="8">
        <v>31.6</v>
      </c>
      <c r="I25" s="8">
        <v>33.4</v>
      </c>
      <c r="J25" s="8">
        <v>33.4</v>
      </c>
      <c r="K25" s="8">
        <v>52.3</v>
      </c>
      <c r="L25" s="8">
        <v>52.9</v>
      </c>
      <c r="M25" s="8">
        <v>61.6</v>
      </c>
    </row>
    <row r="26" spans="1:13" x14ac:dyDescent="0.2">
      <c r="A26" s="6">
        <v>21</v>
      </c>
      <c r="B26" s="7" t="s">
        <v>91</v>
      </c>
      <c r="C26" s="6" t="s">
        <v>92</v>
      </c>
      <c r="D26" s="8">
        <v>2.31</v>
      </c>
      <c r="E26" s="8">
        <v>3.29</v>
      </c>
      <c r="F26" s="8">
        <v>7.77</v>
      </c>
      <c r="G26" s="8">
        <v>6.03</v>
      </c>
      <c r="H26" s="8">
        <v>4.5999999999999996</v>
      </c>
      <c r="I26" s="8">
        <v>7.07</v>
      </c>
      <c r="J26" s="8">
        <v>7.45</v>
      </c>
      <c r="K26" s="8">
        <v>-3.35</v>
      </c>
      <c r="L26" s="8">
        <v>3.6</v>
      </c>
      <c r="M26" s="8">
        <v>5.61</v>
      </c>
    </row>
    <row r="27" spans="1:13" ht="30" x14ac:dyDescent="0.2">
      <c r="A27" s="6">
        <v>22</v>
      </c>
      <c r="B27" s="7" t="s">
        <v>94</v>
      </c>
      <c r="C27" s="6" t="s">
        <v>95</v>
      </c>
      <c r="D27" s="8">
        <v>9.82</v>
      </c>
      <c r="E27" s="8">
        <v>3.65</v>
      </c>
      <c r="F27" s="8">
        <v>-5.74</v>
      </c>
      <c r="G27" s="8">
        <v>48.9</v>
      </c>
      <c r="H27" s="8">
        <v>1.4</v>
      </c>
      <c r="I27" s="8">
        <v>62.1</v>
      </c>
      <c r="J27" s="8">
        <v>91.4</v>
      </c>
      <c r="K27" s="8">
        <v>137.5</v>
      </c>
      <c r="L27" s="8">
        <v>159.5</v>
      </c>
      <c r="M27" s="8">
        <v>98.1</v>
      </c>
    </row>
    <row r="28" spans="1:13" x14ac:dyDescent="0.2">
      <c r="A28" s="6">
        <v>23</v>
      </c>
      <c r="B28" s="7" t="s">
        <v>97</v>
      </c>
      <c r="C28" s="6" t="s">
        <v>98</v>
      </c>
      <c r="D28" s="8">
        <v>6.48</v>
      </c>
      <c r="E28" s="8">
        <v>5.8</v>
      </c>
      <c r="F28" s="8">
        <v>7.11</v>
      </c>
      <c r="G28" s="8">
        <v>9.01</v>
      </c>
      <c r="H28" s="8">
        <v>10.3</v>
      </c>
      <c r="I28" s="8">
        <v>15.4</v>
      </c>
      <c r="J28" s="8">
        <v>15.6</v>
      </c>
      <c r="K28" s="8">
        <v>2.29</v>
      </c>
      <c r="L28" s="8">
        <v>1.24</v>
      </c>
      <c r="M28" s="8">
        <v>-4.1900000000000004</v>
      </c>
    </row>
    <row r="29" spans="1:13" x14ac:dyDescent="0.2">
      <c r="A29" s="6">
        <v>24</v>
      </c>
      <c r="B29" s="7" t="s">
        <v>100</v>
      </c>
      <c r="C29" s="6" t="s">
        <v>101</v>
      </c>
      <c r="D29" s="8">
        <v>3.76</v>
      </c>
      <c r="E29" s="8">
        <v>10</v>
      </c>
      <c r="F29" s="8">
        <v>32.200000000000003</v>
      </c>
      <c r="G29" s="8">
        <v>15.8</v>
      </c>
      <c r="H29" s="8">
        <v>14.1</v>
      </c>
      <c r="I29" s="8">
        <v>5.85</v>
      </c>
      <c r="J29" s="8">
        <v>12.1</v>
      </c>
      <c r="K29" s="8">
        <v>15.2</v>
      </c>
      <c r="L29" s="8">
        <v>20</v>
      </c>
      <c r="M29" s="8">
        <v>18.3</v>
      </c>
    </row>
    <row r="30" spans="1:13" x14ac:dyDescent="0.2">
      <c r="A30" s="6">
        <v>25</v>
      </c>
      <c r="B30" s="7" t="s">
        <v>103</v>
      </c>
      <c r="C30" s="6" t="s">
        <v>104</v>
      </c>
      <c r="D30" s="8">
        <v>10.5</v>
      </c>
      <c r="E30" s="8">
        <v>12.6</v>
      </c>
      <c r="F30" s="8">
        <v>16.2</v>
      </c>
      <c r="G30" s="8">
        <v>14.9</v>
      </c>
      <c r="H30" s="8">
        <v>18.3</v>
      </c>
      <c r="I30" s="8">
        <v>30.5</v>
      </c>
      <c r="J30" s="8">
        <v>30.8</v>
      </c>
      <c r="K30" s="8">
        <v>27.7</v>
      </c>
      <c r="L30" s="8">
        <v>27.4</v>
      </c>
      <c r="M30" s="8">
        <v>31.1</v>
      </c>
    </row>
    <row r="31" spans="1:13" x14ac:dyDescent="0.2">
      <c r="A31" s="6">
        <v>26</v>
      </c>
      <c r="B31" s="7" t="s">
        <v>106</v>
      </c>
      <c r="C31" s="6" t="s">
        <v>107</v>
      </c>
      <c r="D31" s="8">
        <v>5.21</v>
      </c>
      <c r="E31" s="8">
        <v>6.14</v>
      </c>
      <c r="F31" s="8">
        <v>8.76</v>
      </c>
      <c r="G31" s="8">
        <v>9.11</v>
      </c>
      <c r="H31" s="8">
        <v>9.75</v>
      </c>
      <c r="I31" s="8">
        <v>10.3</v>
      </c>
      <c r="J31" s="8">
        <v>10.7</v>
      </c>
      <c r="K31" s="8">
        <v>10.7</v>
      </c>
      <c r="L31" s="8">
        <v>8.2200000000000006</v>
      </c>
      <c r="M31" s="8">
        <v>-64.2</v>
      </c>
    </row>
    <row r="32" spans="1:13" ht="30" x14ac:dyDescent="0.2">
      <c r="A32" s="6">
        <v>27</v>
      </c>
      <c r="B32" s="7" t="s">
        <v>109</v>
      </c>
      <c r="C32" s="6" t="s">
        <v>110</v>
      </c>
      <c r="D32" s="8">
        <v>6.68</v>
      </c>
      <c r="E32" s="8">
        <v>5.82</v>
      </c>
      <c r="F32" s="8">
        <v>11.2</v>
      </c>
      <c r="G32" s="8">
        <v>11</v>
      </c>
      <c r="H32" s="8">
        <v>10.1</v>
      </c>
      <c r="I32" s="8">
        <v>15.5</v>
      </c>
      <c r="J32" s="8">
        <v>14.6</v>
      </c>
      <c r="K32" s="8">
        <v>11.8</v>
      </c>
      <c r="L32" s="8">
        <v>14</v>
      </c>
      <c r="M32" s="8">
        <v>19.2</v>
      </c>
    </row>
    <row r="33" spans="1:13" x14ac:dyDescent="0.2">
      <c r="A33" s="6">
        <v>28</v>
      </c>
      <c r="B33" s="7" t="s">
        <v>112</v>
      </c>
      <c r="C33" s="6" t="s">
        <v>113</v>
      </c>
      <c r="D33" s="8">
        <v>23</v>
      </c>
      <c r="E33" s="8">
        <v>23.1</v>
      </c>
      <c r="F33" s="8">
        <v>28.5</v>
      </c>
      <c r="G33" s="8">
        <v>28.7</v>
      </c>
      <c r="H33" s="8">
        <v>32.700000000000003</v>
      </c>
      <c r="I33" s="8">
        <v>49.6</v>
      </c>
      <c r="J33" s="8">
        <v>46.4</v>
      </c>
      <c r="K33" s="8">
        <v>24.1</v>
      </c>
      <c r="L33" s="8">
        <v>24.1</v>
      </c>
      <c r="M33" s="8">
        <v>32.6</v>
      </c>
    </row>
    <row r="34" spans="1:13" x14ac:dyDescent="0.2">
      <c r="A34" s="6">
        <v>29</v>
      </c>
      <c r="B34" s="7" t="s">
        <v>115</v>
      </c>
      <c r="C34" s="6" t="s">
        <v>116</v>
      </c>
      <c r="D34" s="8">
        <v>10.6</v>
      </c>
      <c r="E34" s="8">
        <v>10.7</v>
      </c>
      <c r="F34" s="8">
        <v>10.7</v>
      </c>
      <c r="G34" s="8">
        <v>17</v>
      </c>
      <c r="H34" s="8">
        <v>18.7</v>
      </c>
      <c r="I34" s="8">
        <v>15.4</v>
      </c>
      <c r="J34" s="8">
        <v>17.5</v>
      </c>
      <c r="K34" s="8">
        <v>6.46</v>
      </c>
      <c r="L34" s="8">
        <v>11.7</v>
      </c>
      <c r="M34" s="8">
        <v>14.6</v>
      </c>
    </row>
    <row r="35" spans="1:13" x14ac:dyDescent="0.2">
      <c r="A35" s="6">
        <v>30</v>
      </c>
      <c r="B35" s="7" t="s">
        <v>118</v>
      </c>
      <c r="C35" s="6" t="s">
        <v>119</v>
      </c>
      <c r="D35" s="8">
        <v>25.6</v>
      </c>
      <c r="E35" s="8">
        <v>30.7</v>
      </c>
      <c r="F35" s="8">
        <v>47.1</v>
      </c>
      <c r="G35" s="8">
        <v>29.1</v>
      </c>
      <c r="H35" s="8">
        <v>9</v>
      </c>
      <c r="I35" s="8">
        <v>44.5</v>
      </c>
      <c r="J35" s="8">
        <v>66</v>
      </c>
      <c r="K35" s="8">
        <v>47.7</v>
      </c>
      <c r="L35" s="8">
        <v>23.3</v>
      </c>
      <c r="M35" s="8">
        <v>42.3</v>
      </c>
    </row>
    <row r="36" spans="1:13" ht="30" x14ac:dyDescent="0.2">
      <c r="A36" s="6">
        <v>31</v>
      </c>
      <c r="B36" s="7" t="s">
        <v>121</v>
      </c>
      <c r="C36" s="6" t="s">
        <v>122</v>
      </c>
      <c r="D36" s="8">
        <v>4.83</v>
      </c>
      <c r="E36" s="8">
        <v>12.3</v>
      </c>
      <c r="F36" s="8">
        <v>16.399999999999999</v>
      </c>
      <c r="G36" s="8">
        <v>13.3</v>
      </c>
      <c r="H36" s="8">
        <v>11.2</v>
      </c>
      <c r="I36" s="8">
        <v>23.7</v>
      </c>
      <c r="J36" s="8">
        <v>25.9</v>
      </c>
      <c r="K36" s="8">
        <v>15.1</v>
      </c>
      <c r="L36" s="8">
        <v>11.7</v>
      </c>
      <c r="M36" s="8">
        <v>15.3</v>
      </c>
    </row>
    <row r="37" spans="1:13" ht="30" x14ac:dyDescent="0.2">
      <c r="A37" s="6">
        <v>32</v>
      </c>
      <c r="B37" s="7" t="s">
        <v>124</v>
      </c>
      <c r="C37" s="6" t="s">
        <v>125</v>
      </c>
      <c r="D37" s="8">
        <v>40.1</v>
      </c>
      <c r="E37" s="8">
        <v>28.5</v>
      </c>
      <c r="F37" s="8">
        <v>53.1</v>
      </c>
      <c r="G37" s="8">
        <v>57.2</v>
      </c>
      <c r="H37" s="8">
        <v>59.5</v>
      </c>
      <c r="I37" s="8">
        <v>69</v>
      </c>
      <c r="J37" s="8">
        <v>61.4</v>
      </c>
      <c r="K37" s="8">
        <v>43.4</v>
      </c>
      <c r="L37" s="8">
        <v>53</v>
      </c>
      <c r="M37" s="8">
        <v>65.2</v>
      </c>
    </row>
    <row r="38" spans="1:13" x14ac:dyDescent="0.2">
      <c r="A38" s="6">
        <v>33</v>
      </c>
      <c r="B38" s="7" t="s">
        <v>127</v>
      </c>
      <c r="C38" s="6" t="s">
        <v>128</v>
      </c>
      <c r="D38" s="8">
        <v>23.4</v>
      </c>
      <c r="E38" s="8">
        <v>49.3</v>
      </c>
      <c r="F38" s="8">
        <v>41</v>
      </c>
      <c r="G38" s="8">
        <v>25.7</v>
      </c>
      <c r="H38" s="8">
        <v>24.3</v>
      </c>
      <c r="I38" s="8">
        <v>27.7</v>
      </c>
      <c r="J38" s="8">
        <v>39.5</v>
      </c>
      <c r="K38" s="8">
        <v>48.8</v>
      </c>
      <c r="L38" s="8">
        <v>-34.6</v>
      </c>
      <c r="M38" s="8">
        <v>19.100000000000001</v>
      </c>
    </row>
    <row r="39" spans="1:13" x14ac:dyDescent="0.2">
      <c r="A39" s="6">
        <v>34</v>
      </c>
      <c r="B39" s="7" t="s">
        <v>130</v>
      </c>
      <c r="C39" s="6" t="s">
        <v>131</v>
      </c>
      <c r="D39" s="8">
        <v>8.92</v>
      </c>
      <c r="E39" s="8">
        <v>8.2899999999999991</v>
      </c>
      <c r="F39" s="8">
        <v>11.3</v>
      </c>
      <c r="G39" s="8">
        <v>12.4</v>
      </c>
      <c r="H39" s="8">
        <v>12.1</v>
      </c>
      <c r="I39" s="8">
        <v>16.5</v>
      </c>
      <c r="J39" s="8">
        <v>15.9</v>
      </c>
      <c r="K39" s="8">
        <v>9.48</v>
      </c>
      <c r="L39" s="8">
        <v>11.4</v>
      </c>
      <c r="M39" s="8">
        <v>14.1</v>
      </c>
    </row>
    <row r="40" spans="1:13" x14ac:dyDescent="0.2">
      <c r="A40" s="6">
        <v>35</v>
      </c>
      <c r="B40" s="7" t="s">
        <v>133</v>
      </c>
      <c r="C40" s="6" t="s">
        <v>134</v>
      </c>
      <c r="D40" s="8">
        <v>4.6500000000000004</v>
      </c>
      <c r="E40" s="8">
        <v>5.63</v>
      </c>
      <c r="F40" s="8">
        <v>7.92</v>
      </c>
      <c r="G40" s="8">
        <v>9.1199999999999992</v>
      </c>
      <c r="H40" s="8">
        <v>9.8000000000000007</v>
      </c>
      <c r="I40" s="8">
        <v>11.6</v>
      </c>
      <c r="J40" s="8">
        <v>11.3</v>
      </c>
      <c r="K40" s="8">
        <v>11.2</v>
      </c>
      <c r="L40" s="8">
        <v>11.7</v>
      </c>
      <c r="M40" s="8">
        <v>11.3</v>
      </c>
    </row>
    <row r="41" spans="1:13" x14ac:dyDescent="0.2">
      <c r="A41" s="6">
        <v>36</v>
      </c>
      <c r="B41" s="7" t="s">
        <v>136</v>
      </c>
      <c r="C41" s="6" t="s">
        <v>137</v>
      </c>
      <c r="D41" s="8">
        <v>17.100000000000001</v>
      </c>
      <c r="E41" s="8">
        <v>15.8</v>
      </c>
      <c r="F41" s="8">
        <v>16.3</v>
      </c>
      <c r="G41" s="8">
        <v>17.3</v>
      </c>
      <c r="H41" s="8">
        <v>18</v>
      </c>
      <c r="I41" s="8">
        <v>14</v>
      </c>
      <c r="J41" s="8">
        <v>14.4</v>
      </c>
      <c r="K41" s="8">
        <v>18.399999999999999</v>
      </c>
      <c r="L41" s="8">
        <v>17.100000000000001</v>
      </c>
      <c r="M41" s="8">
        <v>12.5</v>
      </c>
    </row>
    <row r="42" spans="1:13" ht="30" x14ac:dyDescent="0.2">
      <c r="A42" s="6">
        <v>37</v>
      </c>
      <c r="B42" s="7" t="s">
        <v>139</v>
      </c>
      <c r="C42" s="6" t="s">
        <v>140</v>
      </c>
      <c r="D42" s="8">
        <v>-4.62</v>
      </c>
      <c r="E42" s="8">
        <v>18.5</v>
      </c>
      <c r="F42" s="8">
        <v>28.5</v>
      </c>
      <c r="G42" s="8">
        <v>12.7</v>
      </c>
      <c r="H42" s="8">
        <v>-1.71</v>
      </c>
      <c r="I42" s="8">
        <v>-7.4</v>
      </c>
      <c r="J42" s="8">
        <v>42.4</v>
      </c>
      <c r="K42" s="8">
        <v>35.6</v>
      </c>
      <c r="L42" s="8">
        <v>59</v>
      </c>
      <c r="M42" s="8">
        <v>25.2</v>
      </c>
    </row>
    <row r="43" spans="1:13" ht="30" x14ac:dyDescent="0.2">
      <c r="A43" s="6">
        <v>38</v>
      </c>
      <c r="B43" s="7" t="s">
        <v>142</v>
      </c>
      <c r="C43" s="6" t="s">
        <v>143</v>
      </c>
      <c r="D43" s="8">
        <v>0.50900000000000001</v>
      </c>
      <c r="E43" s="8">
        <v>3.64</v>
      </c>
      <c r="F43" s="8">
        <v>2.76</v>
      </c>
      <c r="G43" s="8">
        <v>3.66</v>
      </c>
      <c r="H43" s="8">
        <v>6.06</v>
      </c>
      <c r="I43" s="8">
        <v>6.09</v>
      </c>
      <c r="J43" s="8">
        <v>8.8699999999999992</v>
      </c>
      <c r="K43" s="8">
        <v>14.2</v>
      </c>
      <c r="L43" s="8">
        <v>12.8</v>
      </c>
      <c r="M43" s="8">
        <v>10.5</v>
      </c>
    </row>
    <row r="44" spans="1:13" x14ac:dyDescent="0.2">
      <c r="A44" s="6">
        <v>39</v>
      </c>
      <c r="B44" s="7" t="s">
        <v>145</v>
      </c>
      <c r="C44" s="6" t="s">
        <v>146</v>
      </c>
      <c r="D44" s="8">
        <v>-0.23300000000000001</v>
      </c>
      <c r="E44" s="8">
        <v>-1.36</v>
      </c>
      <c r="F44" s="8">
        <v>-1.73</v>
      </c>
      <c r="G44" s="8">
        <v>3.76</v>
      </c>
      <c r="H44" s="8">
        <v>1.89</v>
      </c>
      <c r="I44" s="8">
        <v>3</v>
      </c>
      <c r="J44" s="8">
        <v>4.12</v>
      </c>
      <c r="K44" s="8">
        <v>5.93</v>
      </c>
      <c r="L44" s="8">
        <v>4.93</v>
      </c>
      <c r="M44" s="8">
        <v>5.63</v>
      </c>
    </row>
    <row r="45" spans="1:13" x14ac:dyDescent="0.2">
      <c r="A45" s="6">
        <v>40</v>
      </c>
      <c r="B45" s="7" t="s">
        <v>148</v>
      </c>
      <c r="C45" s="6" t="s">
        <v>149</v>
      </c>
      <c r="D45" s="8">
        <v>27.5</v>
      </c>
      <c r="E45" s="8">
        <v>15.6</v>
      </c>
      <c r="F45" s="8">
        <v>96.5</v>
      </c>
      <c r="G45" s="8">
        <v>17.8</v>
      </c>
      <c r="H45" s="8">
        <v>-48.3</v>
      </c>
      <c r="I45" s="8">
        <v>69.099999999999994</v>
      </c>
      <c r="J45" s="8">
        <v>-188</v>
      </c>
      <c r="K45" s="8">
        <v>-122.4</v>
      </c>
      <c r="L45" s="8">
        <v>-41.7</v>
      </c>
      <c r="M45" s="8">
        <v>151.30000000000001</v>
      </c>
    </row>
    <row r="46" spans="1:13" x14ac:dyDescent="0.2">
      <c r="A46" s="6">
        <v>41</v>
      </c>
      <c r="B46" s="7" t="s">
        <v>151</v>
      </c>
      <c r="C46" s="6" t="s">
        <v>152</v>
      </c>
      <c r="D46" s="8">
        <v>4.49</v>
      </c>
      <c r="E46" s="8">
        <v>1.69</v>
      </c>
      <c r="F46" s="8">
        <v>3.21</v>
      </c>
      <c r="G46" s="8">
        <v>3.9</v>
      </c>
      <c r="H46" s="8">
        <v>4.9800000000000004</v>
      </c>
      <c r="I46" s="8">
        <v>6.15</v>
      </c>
      <c r="J46" s="8">
        <v>5.56</v>
      </c>
      <c r="K46" s="8">
        <v>1.94</v>
      </c>
      <c r="L46" s="8">
        <v>2.99</v>
      </c>
      <c r="M46" s="8">
        <v>5.17</v>
      </c>
    </row>
    <row r="47" spans="1:13" x14ac:dyDescent="0.2">
      <c r="A47" s="6">
        <v>42</v>
      </c>
      <c r="B47" s="7" t="s">
        <v>154</v>
      </c>
      <c r="C47" s="6" t="s">
        <v>155</v>
      </c>
      <c r="D47" s="8">
        <v>59.9</v>
      </c>
      <c r="E47" s="8">
        <v>51</v>
      </c>
      <c r="F47" s="8">
        <v>73.7</v>
      </c>
      <c r="G47" s="8">
        <v>69.8</v>
      </c>
      <c r="H47" s="8">
        <v>-68.099999999999994</v>
      </c>
      <c r="I47" s="8">
        <v>93.7</v>
      </c>
      <c r="J47" s="8">
        <v>159.1</v>
      </c>
      <c r="K47" s="8">
        <v>152.80000000000001</v>
      </c>
      <c r="L47" s="8">
        <v>15</v>
      </c>
      <c r="M47" s="8">
        <v>-2.92</v>
      </c>
    </row>
    <row r="48" spans="1:13" x14ac:dyDescent="0.2">
      <c r="A48" s="6">
        <v>43</v>
      </c>
      <c r="B48" s="7" t="s">
        <v>157</v>
      </c>
      <c r="C48" s="6" t="s">
        <v>158</v>
      </c>
      <c r="D48" s="8">
        <v>176.4</v>
      </c>
      <c r="E48" s="8">
        <v>224.4</v>
      </c>
      <c r="F48" s="8">
        <v>38.799999999999997</v>
      </c>
      <c r="G48" s="8">
        <v>-445.3</v>
      </c>
      <c r="H48" s="8">
        <v>-789.1</v>
      </c>
      <c r="I48" s="8">
        <v>10.8</v>
      </c>
      <c r="J48" s="8">
        <v>17.2</v>
      </c>
      <c r="K48" s="8">
        <v>118.4</v>
      </c>
      <c r="L48" s="8">
        <v>48.2</v>
      </c>
      <c r="M48" s="8">
        <v>20.100000000000001</v>
      </c>
    </row>
    <row r="49" spans="1:13" x14ac:dyDescent="0.2">
      <c r="A49" s="6">
        <v>44</v>
      </c>
      <c r="B49" s="7" t="s">
        <v>160</v>
      </c>
      <c r="C49" s="6" t="s">
        <v>161</v>
      </c>
      <c r="D49" s="8">
        <v>4.97</v>
      </c>
      <c r="E49" s="8">
        <v>3.29</v>
      </c>
      <c r="F49" s="8">
        <v>5.83</v>
      </c>
      <c r="G49" s="8">
        <v>6.48</v>
      </c>
      <c r="H49" s="8">
        <v>10.5</v>
      </c>
      <c r="I49" s="8">
        <v>14.7</v>
      </c>
      <c r="J49" s="8">
        <v>17</v>
      </c>
      <c r="K49" s="8">
        <v>10.8</v>
      </c>
      <c r="L49" s="8">
        <v>-4.1900000000000004</v>
      </c>
      <c r="M49" s="8">
        <v>6.8</v>
      </c>
    </row>
    <row r="50" spans="1:13" ht="30" x14ac:dyDescent="0.2">
      <c r="A50" s="6">
        <v>45</v>
      </c>
      <c r="B50" s="7" t="s">
        <v>163</v>
      </c>
      <c r="C50" s="6" t="s">
        <v>164</v>
      </c>
      <c r="D50" s="8">
        <v>74.599999999999994</v>
      </c>
      <c r="E50" s="8">
        <v>64.7</v>
      </c>
      <c r="F50" s="8">
        <v>60.8</v>
      </c>
      <c r="G50" s="8">
        <v>50.2</v>
      </c>
      <c r="H50" s="8">
        <v>133.9</v>
      </c>
      <c r="I50" s="8">
        <v>169.1</v>
      </c>
      <c r="J50" s="8">
        <v>180.6</v>
      </c>
      <c r="K50" s="8">
        <v>67.7</v>
      </c>
      <c r="L50" s="8">
        <v>-6.94</v>
      </c>
      <c r="M50" s="8">
        <v>-516.5</v>
      </c>
    </row>
    <row r="51" spans="1:13" x14ac:dyDescent="0.2">
      <c r="A51" s="6">
        <v>46</v>
      </c>
      <c r="B51" s="7" t="s">
        <v>166</v>
      </c>
      <c r="C51" s="6" t="s">
        <v>167</v>
      </c>
      <c r="D51" s="8">
        <v>120</v>
      </c>
      <c r="E51" s="8">
        <v>-19</v>
      </c>
      <c r="F51" s="8">
        <v>113</v>
      </c>
      <c r="G51" s="8">
        <v>126</v>
      </c>
      <c r="H51" s="8">
        <v>-289</v>
      </c>
      <c r="I51" s="8">
        <v>-148</v>
      </c>
      <c r="J51" s="8">
        <v>20</v>
      </c>
      <c r="K51" s="8">
        <v>10</v>
      </c>
      <c r="L51" s="8">
        <v>5</v>
      </c>
      <c r="M51" s="8">
        <v>40</v>
      </c>
    </row>
    <row r="52" spans="1:13" x14ac:dyDescent="0.2">
      <c r="A52" s="6">
        <v>47</v>
      </c>
      <c r="B52" s="7" t="s">
        <v>169</v>
      </c>
      <c r="C52" s="6" t="s">
        <v>170</v>
      </c>
      <c r="D52" s="8">
        <v>2.86</v>
      </c>
      <c r="E52" s="8">
        <v>-39.4</v>
      </c>
      <c r="F52" s="8">
        <v>-45.3</v>
      </c>
      <c r="G52" s="8">
        <v>54.3</v>
      </c>
      <c r="H52" s="8">
        <v>-20</v>
      </c>
      <c r="I52" s="8">
        <v>5.4</v>
      </c>
      <c r="J52" s="8">
        <v>12.5</v>
      </c>
      <c r="K52" s="8">
        <v>30.7</v>
      </c>
      <c r="L52" s="8">
        <v>34</v>
      </c>
      <c r="M52" s="8">
        <v>64.3</v>
      </c>
    </row>
    <row r="53" spans="1:13" ht="30" x14ac:dyDescent="0.2">
      <c r="A53" s="6">
        <v>48</v>
      </c>
      <c r="B53" s="7" t="s">
        <v>172</v>
      </c>
      <c r="C53" s="6" t="s">
        <v>173</v>
      </c>
      <c r="D53" s="8">
        <v>23.4</v>
      </c>
      <c r="E53" s="8">
        <v>25.8</v>
      </c>
      <c r="F53" s="8">
        <v>30.4</v>
      </c>
      <c r="G53" s="8">
        <v>38.9</v>
      </c>
      <c r="H53" s="8">
        <v>50.8</v>
      </c>
      <c r="I53" s="8">
        <v>67.5</v>
      </c>
      <c r="J53" s="8">
        <v>37.5</v>
      </c>
      <c r="K53" s="8">
        <v>26.4</v>
      </c>
      <c r="L53" s="8">
        <v>28.2</v>
      </c>
      <c r="M53" s="8">
        <v>54.6</v>
      </c>
    </row>
    <row r="54" spans="1:13" x14ac:dyDescent="0.2">
      <c r="A54" s="6">
        <v>49</v>
      </c>
      <c r="B54" s="7" t="s">
        <v>175</v>
      </c>
      <c r="C54" s="6" t="s">
        <v>176</v>
      </c>
      <c r="D54" s="8">
        <v>1.22</v>
      </c>
      <c r="E54" s="8">
        <v>1.02</v>
      </c>
      <c r="F54" s="8">
        <v>1.02</v>
      </c>
      <c r="G54" s="8">
        <v>3.5000000000000003E-2</v>
      </c>
      <c r="H54" s="8">
        <v>-0.51800000000000002</v>
      </c>
      <c r="I54" s="8">
        <v>1.04</v>
      </c>
      <c r="J54" s="8">
        <v>1.36</v>
      </c>
      <c r="K54" s="8">
        <v>0.38900000000000001</v>
      </c>
      <c r="L54" s="8">
        <v>0.58099999999999996</v>
      </c>
      <c r="M54" s="8">
        <v>0.86</v>
      </c>
    </row>
    <row r="55" spans="1:13" x14ac:dyDescent="0.2">
      <c r="A55" s="6">
        <v>50</v>
      </c>
      <c r="B55" s="7" t="s">
        <v>178</v>
      </c>
      <c r="C55" s="6" t="s">
        <v>179</v>
      </c>
      <c r="D55" s="8">
        <v>-105.2</v>
      </c>
      <c r="E55" s="8">
        <v>6.65</v>
      </c>
      <c r="F55" s="8">
        <v>8.49</v>
      </c>
      <c r="G55" s="8">
        <v>173.5</v>
      </c>
      <c r="H55" s="8">
        <v>208.1</v>
      </c>
      <c r="I55" s="8">
        <v>134.9</v>
      </c>
      <c r="J55" s="8">
        <v>12.4</v>
      </c>
      <c r="K55" s="8">
        <v>-5.18</v>
      </c>
      <c r="L55" s="8">
        <v>123.5</v>
      </c>
      <c r="M55" s="8">
        <v>73.2</v>
      </c>
    </row>
    <row r="56" spans="1:13" x14ac:dyDescent="0.2">
      <c r="A56" s="6">
        <v>51</v>
      </c>
      <c r="B56" s="7" t="s">
        <v>181</v>
      </c>
      <c r="C56" s="6" t="s">
        <v>182</v>
      </c>
      <c r="D56" s="8">
        <v>0.58399999999999996</v>
      </c>
      <c r="E56" s="8">
        <v>0.71599999999999997</v>
      </c>
      <c r="F56" s="8">
        <v>0.873</v>
      </c>
      <c r="G56" s="8">
        <v>0.98699999999999999</v>
      </c>
      <c r="H56" s="8">
        <v>-0.82</v>
      </c>
      <c r="I56" s="8">
        <v>1.02</v>
      </c>
      <c r="J56" s="8">
        <v>1.02</v>
      </c>
      <c r="K56" s="8">
        <v>1.1599999999999999</v>
      </c>
      <c r="L56" s="8">
        <v>1.5</v>
      </c>
      <c r="M56" s="8">
        <v>1.77</v>
      </c>
    </row>
    <row r="57" spans="1:13" x14ac:dyDescent="0.2">
      <c r="A57" s="6">
        <v>52</v>
      </c>
      <c r="B57" s="7" t="s">
        <v>184</v>
      </c>
      <c r="C57" s="6" t="s">
        <v>185</v>
      </c>
      <c r="D57" s="8">
        <v>28.6</v>
      </c>
      <c r="E57" s="8">
        <v>21.9</v>
      </c>
      <c r="F57" s="8">
        <v>32.9</v>
      </c>
      <c r="G57" s="8">
        <v>40.799999999999997</v>
      </c>
      <c r="H57" s="8">
        <v>12</v>
      </c>
      <c r="I57" s="8">
        <v>141.69999999999999</v>
      </c>
      <c r="J57" s="8">
        <v>109</v>
      </c>
      <c r="K57" s="8">
        <v>79.400000000000006</v>
      </c>
      <c r="L57" s="8">
        <v>74.599999999999994</v>
      </c>
      <c r="M57" s="8">
        <v>57.9</v>
      </c>
    </row>
    <row r="58" spans="1:13" x14ac:dyDescent="0.2">
      <c r="A58" s="6">
        <v>53</v>
      </c>
      <c r="B58" s="7" t="s">
        <v>187</v>
      </c>
      <c r="C58" s="6" t="s">
        <v>188</v>
      </c>
      <c r="D58" s="8">
        <v>8.6199999999999992</v>
      </c>
      <c r="E58" s="8">
        <v>8.92</v>
      </c>
      <c r="F58" s="8">
        <v>9.24</v>
      </c>
      <c r="G58" s="8">
        <v>10.1</v>
      </c>
      <c r="H58" s="8">
        <v>11.1</v>
      </c>
      <c r="I58" s="8">
        <v>14.8</v>
      </c>
      <c r="J58" s="8">
        <v>14.1</v>
      </c>
      <c r="K58" s="8">
        <v>6.93</v>
      </c>
      <c r="L58" s="8">
        <v>-13.7</v>
      </c>
      <c r="M58" s="8">
        <v>9.06</v>
      </c>
    </row>
    <row r="59" spans="1:13" ht="30" x14ac:dyDescent="0.2">
      <c r="A59" s="6">
        <v>54</v>
      </c>
      <c r="B59" s="7" t="s">
        <v>190</v>
      </c>
      <c r="C59" s="6" t="s">
        <v>191</v>
      </c>
      <c r="D59" s="8">
        <v>14.6</v>
      </c>
      <c r="E59" s="8">
        <v>15</v>
      </c>
      <c r="F59" s="8">
        <v>17</v>
      </c>
      <c r="G59" s="8">
        <v>12.1</v>
      </c>
      <c r="H59" s="8">
        <v>41</v>
      </c>
      <c r="I59" s="8">
        <v>29.4</v>
      </c>
      <c r="J59" s="8">
        <v>-32</v>
      </c>
      <c r="K59" s="8">
        <v>8.77</v>
      </c>
      <c r="L59" s="8">
        <v>12</v>
      </c>
      <c r="M59" s="8">
        <v>7</v>
      </c>
    </row>
    <row r="60" spans="1:13" x14ac:dyDescent="0.2">
      <c r="A60" s="6">
        <v>55</v>
      </c>
      <c r="B60" s="7" t="s">
        <v>193</v>
      </c>
      <c r="C60" s="6" t="s">
        <v>194</v>
      </c>
      <c r="D60" s="8">
        <v>5.67</v>
      </c>
      <c r="E60" s="8">
        <v>3.38</v>
      </c>
      <c r="F60" s="8">
        <v>3.38</v>
      </c>
      <c r="G60" s="8">
        <v>2.41</v>
      </c>
      <c r="H60" s="8">
        <v>8.17</v>
      </c>
      <c r="I60" s="8">
        <v>15.5</v>
      </c>
      <c r="J60" s="8">
        <v>16.3</v>
      </c>
      <c r="K60" s="8">
        <v>10</v>
      </c>
      <c r="L60" s="8">
        <v>3.61</v>
      </c>
      <c r="M60" s="8">
        <v>1.01</v>
      </c>
    </row>
    <row r="61" spans="1:13" x14ac:dyDescent="0.2">
      <c r="A61" s="6">
        <v>56</v>
      </c>
      <c r="B61" s="7" t="s">
        <v>196</v>
      </c>
      <c r="C61" s="6" t="s">
        <v>197</v>
      </c>
      <c r="D61" s="8">
        <v>2.25</v>
      </c>
      <c r="E61" s="8">
        <v>3.58</v>
      </c>
      <c r="F61" s="8">
        <v>4.78</v>
      </c>
      <c r="G61" s="8">
        <v>3.96</v>
      </c>
      <c r="H61" s="8">
        <v>4.09</v>
      </c>
      <c r="I61" s="8">
        <v>4.1500000000000004</v>
      </c>
      <c r="J61" s="8">
        <v>3.01</v>
      </c>
      <c r="K61" s="8">
        <v>2.52</v>
      </c>
      <c r="L61" s="8">
        <v>3.49</v>
      </c>
      <c r="M61" s="8">
        <v>1.96</v>
      </c>
    </row>
    <row r="62" spans="1:13" x14ac:dyDescent="0.2">
      <c r="A62" s="6">
        <v>57</v>
      </c>
      <c r="B62" s="7" t="s">
        <v>199</v>
      </c>
      <c r="C62" s="6" t="s">
        <v>200</v>
      </c>
      <c r="D62" s="8">
        <v>60.4</v>
      </c>
      <c r="E62" s="8">
        <v>38</v>
      </c>
      <c r="F62" s="8">
        <v>43</v>
      </c>
      <c r="G62" s="8">
        <v>57.9</v>
      </c>
      <c r="H62" s="8">
        <v>57.4</v>
      </c>
      <c r="I62" s="8">
        <v>90.9</v>
      </c>
      <c r="J62" s="8">
        <v>55.4</v>
      </c>
      <c r="K62" s="8">
        <v>34.1</v>
      </c>
      <c r="L62" s="8">
        <v>27.5</v>
      </c>
      <c r="M62" s="8">
        <v>41.3</v>
      </c>
    </row>
    <row r="63" spans="1:13" x14ac:dyDescent="0.2">
      <c r="A63" s="6">
        <v>58</v>
      </c>
      <c r="B63" s="7" t="s">
        <v>202</v>
      </c>
      <c r="C63" s="6" t="s">
        <v>203</v>
      </c>
      <c r="D63" s="8">
        <v>66</v>
      </c>
      <c r="E63" s="8">
        <v>84.4</v>
      </c>
      <c r="F63" s="8">
        <v>135.4</v>
      </c>
      <c r="G63" s="8">
        <v>151.1</v>
      </c>
      <c r="H63" s="8">
        <v>138.19999999999999</v>
      </c>
      <c r="I63" s="8">
        <v>124.1</v>
      </c>
      <c r="J63" s="8">
        <v>179</v>
      </c>
      <c r="K63" s="8">
        <v>171</v>
      </c>
      <c r="L63" s="8">
        <v>91</v>
      </c>
      <c r="M63" s="8">
        <v>-7</v>
      </c>
    </row>
    <row r="64" spans="1:13" x14ac:dyDescent="0.2">
      <c r="A64" s="6">
        <v>59</v>
      </c>
      <c r="B64" s="7" t="s">
        <v>205</v>
      </c>
      <c r="C64" s="6" t="s">
        <v>206</v>
      </c>
      <c r="D64" s="8">
        <v>24.8</v>
      </c>
      <c r="E64" s="8">
        <v>46.9</v>
      </c>
      <c r="F64" s="8">
        <v>37.299999999999997</v>
      </c>
      <c r="G64" s="8">
        <v>18.600000000000001</v>
      </c>
      <c r="H64" s="8">
        <v>36</v>
      </c>
      <c r="I64" s="8">
        <v>64.900000000000006</v>
      </c>
      <c r="J64" s="8">
        <v>88.6</v>
      </c>
      <c r="K64" s="8">
        <v>62.8</v>
      </c>
      <c r="L64" s="8">
        <v>63.7</v>
      </c>
      <c r="M64" s="8">
        <v>104.3</v>
      </c>
    </row>
    <row r="65" spans="1:13" x14ac:dyDescent="0.2">
      <c r="A65" s="6">
        <v>60</v>
      </c>
      <c r="B65" s="7" t="s">
        <v>208</v>
      </c>
      <c r="C65" s="6" t="s">
        <v>209</v>
      </c>
      <c r="D65" s="8">
        <v>10.9</v>
      </c>
      <c r="E65" s="8">
        <v>9.8800000000000008</v>
      </c>
      <c r="F65" s="8">
        <v>-3.51</v>
      </c>
      <c r="G65" s="8">
        <v>5.46</v>
      </c>
      <c r="H65" s="8">
        <v>5.88</v>
      </c>
      <c r="I65" s="8">
        <v>12.4</v>
      </c>
      <c r="J65" s="8">
        <v>21</v>
      </c>
      <c r="K65" s="8">
        <v>13.1</v>
      </c>
      <c r="L65" s="8">
        <v>-8.16</v>
      </c>
      <c r="M65" s="8">
        <v>8.77</v>
      </c>
    </row>
    <row r="66" spans="1:13" x14ac:dyDescent="0.2">
      <c r="A66" s="6">
        <v>61</v>
      </c>
      <c r="B66" s="7" t="s">
        <v>211</v>
      </c>
      <c r="C66" s="6" t="s">
        <v>212</v>
      </c>
      <c r="D66" s="8">
        <v>6.16</v>
      </c>
      <c r="E66" s="8">
        <v>3.38</v>
      </c>
      <c r="F66" s="8">
        <v>4.87</v>
      </c>
      <c r="G66" s="8">
        <v>6.35</v>
      </c>
      <c r="H66" s="8">
        <v>7.45</v>
      </c>
      <c r="I66" s="8">
        <v>7.72</v>
      </c>
      <c r="J66" s="8">
        <v>7.26</v>
      </c>
      <c r="K66" s="8">
        <v>4.72</v>
      </c>
      <c r="L66" s="8">
        <v>2.44</v>
      </c>
      <c r="M66" s="8">
        <v>-9.2200000000000006</v>
      </c>
    </row>
    <row r="67" spans="1:13" ht="30" x14ac:dyDescent="0.2">
      <c r="A67" s="6">
        <v>62</v>
      </c>
      <c r="B67" s="7" t="s">
        <v>214</v>
      </c>
      <c r="C67" s="6" t="s">
        <v>215</v>
      </c>
      <c r="D67" s="8">
        <v>24.9</v>
      </c>
      <c r="E67" s="8">
        <v>15.9</v>
      </c>
      <c r="F67" s="8">
        <v>17.3</v>
      </c>
      <c r="G67" s="8">
        <v>10.199999999999999</v>
      </c>
      <c r="H67" s="8">
        <v>-18.5</v>
      </c>
      <c r="I67" s="8">
        <v>15.5</v>
      </c>
      <c r="J67" s="8">
        <v>41.7</v>
      </c>
      <c r="K67" s="8">
        <v>16.7</v>
      </c>
      <c r="L67" s="8">
        <v>1.76</v>
      </c>
      <c r="M67" s="8">
        <v>3.12</v>
      </c>
    </row>
    <row r="68" spans="1:13" x14ac:dyDescent="0.2">
      <c r="A68" s="6">
        <v>63</v>
      </c>
      <c r="B68" s="7" t="s">
        <v>217</v>
      </c>
      <c r="C68" s="6" t="s">
        <v>218</v>
      </c>
      <c r="D68" s="8">
        <v>24.5</v>
      </c>
      <c r="E68" s="8">
        <v>39.9</v>
      </c>
      <c r="F68" s="8">
        <v>18.3</v>
      </c>
      <c r="G68" s="8">
        <v>25.2</v>
      </c>
      <c r="H68" s="8">
        <v>9.48</v>
      </c>
      <c r="I68" s="8">
        <v>62.9</v>
      </c>
      <c r="J68" s="8">
        <v>13.7</v>
      </c>
      <c r="K68" s="8">
        <v>34.4</v>
      </c>
      <c r="L68" s="8">
        <v>35.299999999999997</v>
      </c>
      <c r="M68" s="8">
        <v>28.1</v>
      </c>
    </row>
    <row r="69" spans="1:13" ht="30" x14ac:dyDescent="0.2">
      <c r="A69" s="6">
        <v>64</v>
      </c>
      <c r="B69" s="7" t="s">
        <v>220</v>
      </c>
      <c r="C69" s="6" t="s">
        <v>221</v>
      </c>
      <c r="D69" s="8">
        <v>4.4000000000000004</v>
      </c>
      <c r="E69" s="8">
        <v>0.98499999999999999</v>
      </c>
      <c r="F69" s="8">
        <v>2.16</v>
      </c>
      <c r="G69" s="8">
        <v>4.5599999999999996</v>
      </c>
      <c r="H69" s="8">
        <v>1.07</v>
      </c>
      <c r="I69" s="8">
        <v>0.2</v>
      </c>
      <c r="J69" s="8">
        <v>0.51600000000000001</v>
      </c>
      <c r="K69" s="8">
        <v>8.56</v>
      </c>
      <c r="L69" s="8">
        <v>7.72</v>
      </c>
      <c r="M69" s="8">
        <v>9.36</v>
      </c>
    </row>
    <row r="70" spans="1:13" x14ac:dyDescent="0.2">
      <c r="A70" s="6">
        <v>65</v>
      </c>
      <c r="B70" s="7" t="s">
        <v>223</v>
      </c>
      <c r="C70" s="6" t="s">
        <v>224</v>
      </c>
      <c r="D70" s="8">
        <v>3.03</v>
      </c>
      <c r="E70" s="8">
        <v>3.88</v>
      </c>
      <c r="F70" s="8">
        <v>4.25</v>
      </c>
      <c r="G70" s="8">
        <v>3.68</v>
      </c>
      <c r="H70" s="8">
        <v>3.23</v>
      </c>
      <c r="I70" s="8">
        <v>4.01</v>
      </c>
      <c r="J70" s="8">
        <v>4.47</v>
      </c>
      <c r="K70" s="8">
        <v>4.59</v>
      </c>
      <c r="L70" s="8">
        <v>5.26</v>
      </c>
      <c r="M70" s="8">
        <v>6.2</v>
      </c>
    </row>
    <row r="71" spans="1:13" ht="30" x14ac:dyDescent="0.2">
      <c r="A71" s="6">
        <v>66</v>
      </c>
      <c r="B71" s="7" t="s">
        <v>226</v>
      </c>
      <c r="C71" s="6" t="s">
        <v>227</v>
      </c>
      <c r="D71" s="8">
        <v>201.3</v>
      </c>
      <c r="E71" s="8">
        <v>238.3</v>
      </c>
      <c r="F71" s="8">
        <v>218.1</v>
      </c>
      <c r="G71" s="8">
        <v>219.8</v>
      </c>
      <c r="H71" s="8">
        <v>47.8</v>
      </c>
      <c r="I71" s="8">
        <v>140.80000000000001</v>
      </c>
      <c r="J71" s="8">
        <v>108.5</v>
      </c>
      <c r="K71" s="8">
        <v>83.4</v>
      </c>
      <c r="L71" s="8">
        <v>36</v>
      </c>
      <c r="M71" s="8">
        <v>-4.01</v>
      </c>
    </row>
    <row r="72" spans="1:13" x14ac:dyDescent="0.2">
      <c r="A72" s="6">
        <v>67</v>
      </c>
      <c r="B72" s="7" t="s">
        <v>229</v>
      </c>
      <c r="C72" s="6" t="s">
        <v>230</v>
      </c>
      <c r="D72" s="8">
        <v>1.44</v>
      </c>
      <c r="E72" s="8">
        <v>2.1</v>
      </c>
      <c r="F72" s="8">
        <v>1.87</v>
      </c>
      <c r="G72" s="8">
        <v>3.64</v>
      </c>
      <c r="H72" s="8">
        <v>3.7</v>
      </c>
      <c r="I72" s="8">
        <v>1.9</v>
      </c>
      <c r="J72" s="8">
        <v>2.09</v>
      </c>
      <c r="K72" s="8">
        <v>3.94</v>
      </c>
      <c r="L72" s="8">
        <v>6.76</v>
      </c>
      <c r="M72" s="8">
        <v>8.99</v>
      </c>
    </row>
    <row r="73" spans="1:13" ht="30" x14ac:dyDescent="0.2">
      <c r="A73" s="6">
        <v>68</v>
      </c>
      <c r="B73" s="7" t="s">
        <v>232</v>
      </c>
      <c r="C73" s="6" t="s">
        <v>233</v>
      </c>
      <c r="D73" s="8">
        <v>14.1</v>
      </c>
      <c r="E73" s="8">
        <v>62.2</v>
      </c>
      <c r="F73" s="8">
        <v>43.2</v>
      </c>
      <c r="G73" s="8">
        <v>66.900000000000006</v>
      </c>
      <c r="H73" s="8">
        <v>9.75</v>
      </c>
      <c r="I73" s="8">
        <v>3.35</v>
      </c>
      <c r="J73" s="8">
        <v>5.44</v>
      </c>
      <c r="K73" s="8">
        <v>43.8</v>
      </c>
      <c r="L73" s="8">
        <v>108.6</v>
      </c>
      <c r="M73" s="8">
        <v>113.8</v>
      </c>
    </row>
    <row r="74" spans="1:13" x14ac:dyDescent="0.2">
      <c r="A74" s="6">
        <v>69</v>
      </c>
      <c r="B74" s="7" t="s">
        <v>235</v>
      </c>
      <c r="C74" s="6" t="s">
        <v>236</v>
      </c>
      <c r="D74" s="8">
        <v>17.7</v>
      </c>
      <c r="E74" s="8">
        <v>15.1</v>
      </c>
      <c r="F74" s="8">
        <v>15.4</v>
      </c>
      <c r="G74" s="8">
        <v>-9.57</v>
      </c>
      <c r="H74" s="8">
        <v>9.99</v>
      </c>
      <c r="I74" s="8">
        <v>24.8</v>
      </c>
      <c r="J74" s="8">
        <v>21.8</v>
      </c>
      <c r="K74" s="8">
        <v>3.05</v>
      </c>
      <c r="L74" s="8">
        <v>-5.75</v>
      </c>
      <c r="M74" s="8">
        <v>-119.4</v>
      </c>
    </row>
    <row r="75" spans="1:13" x14ac:dyDescent="0.2">
      <c r="A75" s="6">
        <v>70</v>
      </c>
      <c r="B75" s="7" t="s">
        <v>238</v>
      </c>
      <c r="C75" s="6" t="s">
        <v>239</v>
      </c>
      <c r="D75" s="8">
        <v>67.2</v>
      </c>
      <c r="E75" s="8">
        <v>-13.1</v>
      </c>
      <c r="F75" s="8">
        <v>20.399999999999999</v>
      </c>
      <c r="G75" s="8">
        <v>-18.399999999999999</v>
      </c>
      <c r="H75" s="8">
        <v>269.3</v>
      </c>
      <c r="I75" s="8">
        <v>122.7</v>
      </c>
      <c r="J75" s="8">
        <v>195.9</v>
      </c>
      <c r="K75" s="8">
        <v>-947.8</v>
      </c>
      <c r="L75" s="8">
        <v>146.19999999999999</v>
      </c>
      <c r="M75" s="8">
        <v>-100.9</v>
      </c>
    </row>
    <row r="76" spans="1:13" x14ac:dyDescent="0.2">
      <c r="A76" s="6">
        <v>71</v>
      </c>
      <c r="B76" s="7" t="s">
        <v>241</v>
      </c>
      <c r="C76" s="6" t="s">
        <v>242</v>
      </c>
      <c r="D76" s="8">
        <v>7.55</v>
      </c>
      <c r="E76" s="8">
        <v>6.34</v>
      </c>
      <c r="F76" s="8">
        <v>9.75</v>
      </c>
      <c r="G76" s="8">
        <v>11.4</v>
      </c>
      <c r="H76" s="8">
        <v>12.3</v>
      </c>
      <c r="I76" s="8">
        <v>14.9</v>
      </c>
      <c r="J76" s="8">
        <v>14.6</v>
      </c>
      <c r="K76" s="8">
        <v>12.4</v>
      </c>
      <c r="L76" s="8">
        <v>15.3</v>
      </c>
      <c r="M76" s="8">
        <v>21.6</v>
      </c>
    </row>
    <row r="77" spans="1:13" x14ac:dyDescent="0.2">
      <c r="A77" s="6">
        <v>72</v>
      </c>
      <c r="B77" s="7" t="s">
        <v>244</v>
      </c>
      <c r="C77" s="6" t="s">
        <v>245</v>
      </c>
      <c r="D77" s="8">
        <v>24</v>
      </c>
      <c r="E77" s="8">
        <v>30</v>
      </c>
      <c r="F77" s="8">
        <v>35.299999999999997</v>
      </c>
      <c r="G77" s="8">
        <v>44.7</v>
      </c>
      <c r="H77" s="8">
        <v>26.7</v>
      </c>
      <c r="I77" s="8">
        <v>88.7</v>
      </c>
      <c r="J77" s="8">
        <v>51.2</v>
      </c>
      <c r="K77" s="8">
        <v>16</v>
      </c>
      <c r="L77" s="8">
        <v>41.2</v>
      </c>
      <c r="M77" s="8">
        <v>44.4</v>
      </c>
    </row>
    <row r="78" spans="1:13" x14ac:dyDescent="0.2">
      <c r="A78" s="6">
        <v>73</v>
      </c>
      <c r="B78" s="7" t="s">
        <v>247</v>
      </c>
      <c r="C78" s="6" t="s">
        <v>248</v>
      </c>
      <c r="D78" s="8">
        <v>41.6</v>
      </c>
      <c r="E78" s="8">
        <v>85.9</v>
      </c>
      <c r="F78" s="8">
        <v>118.7</v>
      </c>
      <c r="G78" s="8">
        <v>99.9</v>
      </c>
      <c r="H78" s="8">
        <v>23.1</v>
      </c>
      <c r="I78" s="8">
        <v>47.5</v>
      </c>
      <c r="J78" s="8">
        <v>64.2</v>
      </c>
      <c r="K78" s="8">
        <v>6.72</v>
      </c>
      <c r="L78" s="8">
        <v>-26.7</v>
      </c>
      <c r="M78" s="8">
        <v>-98.9</v>
      </c>
    </row>
    <row r="79" spans="1:13" x14ac:dyDescent="0.2">
      <c r="A79" s="6">
        <v>74</v>
      </c>
      <c r="B79" s="7" t="s">
        <v>250</v>
      </c>
      <c r="C79" s="6" t="s">
        <v>251</v>
      </c>
      <c r="D79" s="8">
        <v>12</v>
      </c>
      <c r="E79" s="8">
        <v>24.6</v>
      </c>
      <c r="F79" s="8">
        <v>19.2</v>
      </c>
      <c r="G79" s="8">
        <v>13.4</v>
      </c>
      <c r="H79" s="8">
        <v>17.3</v>
      </c>
      <c r="I79" s="8">
        <v>14.8</v>
      </c>
      <c r="J79" s="8">
        <v>26.2</v>
      </c>
      <c r="K79" s="8">
        <v>22.3</v>
      </c>
      <c r="L79" s="8">
        <v>15.1</v>
      </c>
      <c r="M79" s="8">
        <v>35.700000000000003</v>
      </c>
    </row>
    <row r="80" spans="1:13" x14ac:dyDescent="0.2">
      <c r="A80" s="6">
        <v>75</v>
      </c>
      <c r="B80" s="7" t="s">
        <v>253</v>
      </c>
      <c r="C80" s="6" t="s">
        <v>254</v>
      </c>
      <c r="D80" s="8">
        <v>105.8</v>
      </c>
      <c r="E80" s="8">
        <v>86</v>
      </c>
      <c r="F80" s="8">
        <v>37.200000000000003</v>
      </c>
      <c r="G80" s="8">
        <v>56.3</v>
      </c>
      <c r="H80" s="8">
        <v>-362.3</v>
      </c>
      <c r="I80" s="8">
        <v>6.07</v>
      </c>
      <c r="J80" s="8">
        <v>132</v>
      </c>
      <c r="K80" s="8">
        <v>103.9</v>
      </c>
      <c r="L80" s="8">
        <v>-2.08</v>
      </c>
      <c r="M80" s="8">
        <v>-26.6</v>
      </c>
    </row>
    <row r="81" spans="1:13" x14ac:dyDescent="0.2">
      <c r="A81" s="6">
        <v>76</v>
      </c>
      <c r="B81" s="7" t="s">
        <v>256</v>
      </c>
      <c r="C81" s="6" t="s">
        <v>257</v>
      </c>
      <c r="D81" s="8">
        <v>82.6</v>
      </c>
      <c r="E81" s="8">
        <v>80.3</v>
      </c>
      <c r="F81" s="8">
        <v>80.099999999999994</v>
      </c>
      <c r="G81" s="8">
        <v>37.9</v>
      </c>
      <c r="H81" s="8">
        <v>69.8</v>
      </c>
      <c r="I81" s="8">
        <v>-22.6</v>
      </c>
      <c r="J81" s="8">
        <v>67.599999999999994</v>
      </c>
      <c r="K81" s="8">
        <v>104.1</v>
      </c>
      <c r="L81" s="8">
        <v>98.3</v>
      </c>
      <c r="M81" s="8">
        <v>40</v>
      </c>
    </row>
    <row r="82" spans="1:13" x14ac:dyDescent="0.2">
      <c r="A82" s="6">
        <v>77</v>
      </c>
      <c r="B82" s="7" t="s">
        <v>259</v>
      </c>
      <c r="C82" s="6" t="s">
        <v>260</v>
      </c>
      <c r="D82" s="8">
        <v>37.700000000000003</v>
      </c>
      <c r="E82" s="8">
        <v>23.9</v>
      </c>
      <c r="F82" s="8">
        <v>10.3</v>
      </c>
      <c r="G82" s="8">
        <v>56.6</v>
      </c>
      <c r="H82" s="8">
        <v>-138.30000000000001</v>
      </c>
      <c r="I82" s="8">
        <v>90.5</v>
      </c>
      <c r="J82" s="8">
        <v>103.2</v>
      </c>
      <c r="K82" s="8">
        <v>57.3</v>
      </c>
      <c r="L82" s="8">
        <v>17.100000000000001</v>
      </c>
      <c r="M82" s="8">
        <v>22</v>
      </c>
    </row>
    <row r="83" spans="1:13" x14ac:dyDescent="0.2">
      <c r="A83" s="6">
        <v>78</v>
      </c>
      <c r="B83" s="7" t="s">
        <v>262</v>
      </c>
      <c r="C83" s="6" t="s">
        <v>263</v>
      </c>
      <c r="D83" s="8">
        <v>188.9</v>
      </c>
      <c r="E83" s="8">
        <v>29.9</v>
      </c>
      <c r="F83" s="8">
        <v>10.4</v>
      </c>
      <c r="G83" s="8">
        <v>-60.6</v>
      </c>
      <c r="H83" s="8">
        <v>122.3</v>
      </c>
      <c r="I83" s="8">
        <v>278.5</v>
      </c>
      <c r="J83" s="8">
        <v>123.7</v>
      </c>
      <c r="K83" s="8">
        <v>33.4</v>
      </c>
      <c r="L83" s="8">
        <v>-38.6</v>
      </c>
      <c r="M83" s="8">
        <v>-89.8</v>
      </c>
    </row>
    <row r="84" spans="1:13" ht="30" x14ac:dyDescent="0.2">
      <c r="A84" s="6">
        <v>79</v>
      </c>
      <c r="B84" s="7" t="s">
        <v>265</v>
      </c>
      <c r="C84" s="6" t="s">
        <v>266</v>
      </c>
      <c r="D84" s="8">
        <v>7.41</v>
      </c>
      <c r="E84" s="8">
        <v>5.46</v>
      </c>
      <c r="F84" s="8">
        <v>-4.78</v>
      </c>
      <c r="G84" s="8">
        <v>-15.2</v>
      </c>
      <c r="H84" s="8">
        <v>8.17</v>
      </c>
      <c r="I84" s="8">
        <v>4.67</v>
      </c>
      <c r="J84" s="8">
        <v>12.2</v>
      </c>
      <c r="K84" s="8">
        <v>20.3</v>
      </c>
      <c r="L84" s="8">
        <v>13.3</v>
      </c>
      <c r="M84" s="8">
        <v>11.2</v>
      </c>
    </row>
    <row r="85" spans="1:13" x14ac:dyDescent="0.2">
      <c r="A85" s="6">
        <v>80</v>
      </c>
      <c r="B85" s="7" t="s">
        <v>268</v>
      </c>
      <c r="C85" s="6" t="s">
        <v>269</v>
      </c>
      <c r="D85" s="8">
        <v>3.58</v>
      </c>
      <c r="E85" s="8">
        <v>3.55</v>
      </c>
      <c r="F85" s="8">
        <v>4.28</v>
      </c>
      <c r="G85" s="8">
        <v>6.81</v>
      </c>
      <c r="H85" s="8">
        <v>7.95</v>
      </c>
      <c r="I85" s="8">
        <v>9.4499999999999993</v>
      </c>
      <c r="J85" s="8">
        <v>8.66</v>
      </c>
      <c r="K85" s="8">
        <v>8.9499999999999993</v>
      </c>
      <c r="L85" s="8">
        <v>7.4</v>
      </c>
      <c r="M85" s="8">
        <v>7.75</v>
      </c>
    </row>
    <row r="86" spans="1:13" x14ac:dyDescent="0.2">
      <c r="A86" s="6">
        <v>81</v>
      </c>
      <c r="B86" s="7" t="s">
        <v>271</v>
      </c>
      <c r="C86" s="6" t="s">
        <v>272</v>
      </c>
      <c r="D86" s="8">
        <v>1.85</v>
      </c>
      <c r="E86" s="8">
        <v>1.94</v>
      </c>
      <c r="F86" s="8">
        <v>3.19</v>
      </c>
      <c r="G86" s="8">
        <v>3.29</v>
      </c>
      <c r="H86" s="8">
        <v>3.2</v>
      </c>
      <c r="I86" s="8">
        <v>5.34</v>
      </c>
      <c r="J86" s="8">
        <v>5.13</v>
      </c>
      <c r="K86" s="8">
        <v>6.46</v>
      </c>
      <c r="L86" s="8">
        <v>6.96</v>
      </c>
      <c r="M86" s="8">
        <v>7.07</v>
      </c>
    </row>
    <row r="87" spans="1:13" x14ac:dyDescent="0.2">
      <c r="A87" s="6">
        <v>82</v>
      </c>
      <c r="B87" s="7" t="s">
        <v>274</v>
      </c>
      <c r="C87" s="6" t="s">
        <v>275</v>
      </c>
      <c r="D87" s="8">
        <v>2.4</v>
      </c>
      <c r="E87" s="8">
        <v>2.96</v>
      </c>
      <c r="F87" s="8">
        <v>5.52</v>
      </c>
      <c r="G87" s="8">
        <v>4.99</v>
      </c>
      <c r="H87" s="8">
        <v>7.49</v>
      </c>
      <c r="I87" s="8">
        <v>9.91</v>
      </c>
      <c r="J87" s="8">
        <v>10.7</v>
      </c>
      <c r="K87" s="8">
        <v>9.76</v>
      </c>
      <c r="L87" s="8">
        <v>8.68</v>
      </c>
      <c r="M87" s="8">
        <v>9.5299999999999994</v>
      </c>
    </row>
    <row r="88" spans="1:13" x14ac:dyDescent="0.2">
      <c r="A88" s="6">
        <v>83</v>
      </c>
      <c r="B88" s="7" t="s">
        <v>277</v>
      </c>
      <c r="C88" s="6" t="s">
        <v>278</v>
      </c>
      <c r="D88" s="8">
        <v>-18.5</v>
      </c>
      <c r="E88" s="8">
        <v>-1.1399999999999999</v>
      </c>
      <c r="F88" s="8">
        <v>9.08</v>
      </c>
      <c r="G88" s="8">
        <v>8.09</v>
      </c>
      <c r="H88" s="8">
        <v>1.49</v>
      </c>
      <c r="I88" s="8">
        <v>5.07</v>
      </c>
      <c r="J88" s="8">
        <v>34</v>
      </c>
      <c r="K88" s="8">
        <v>13.7</v>
      </c>
      <c r="L88" s="8">
        <v>5.29</v>
      </c>
      <c r="M88" s="8">
        <v>5.88</v>
      </c>
    </row>
    <row r="89" spans="1:13" ht="30" x14ac:dyDescent="0.2">
      <c r="A89" s="6">
        <v>84</v>
      </c>
      <c r="B89" s="7" t="s">
        <v>280</v>
      </c>
      <c r="C89" s="6" t="s">
        <v>281</v>
      </c>
      <c r="D89" s="8">
        <v>24.2</v>
      </c>
      <c r="E89" s="8">
        <v>28.2</v>
      </c>
      <c r="F89" s="8">
        <v>52.2</v>
      </c>
      <c r="G89" s="8">
        <v>37.6</v>
      </c>
      <c r="H89" s="8">
        <v>48.1</v>
      </c>
      <c r="I89" s="8">
        <v>73.7</v>
      </c>
      <c r="J89" s="8">
        <v>168.6</v>
      </c>
      <c r="K89" s="8">
        <v>92.9</v>
      </c>
      <c r="L89" s="8">
        <v>129.9</v>
      </c>
      <c r="M89" s="8">
        <v>-99.9</v>
      </c>
    </row>
    <row r="90" spans="1:13" x14ac:dyDescent="0.2">
      <c r="A90" s="6">
        <v>85</v>
      </c>
      <c r="B90" s="7" t="s">
        <v>283</v>
      </c>
      <c r="C90" s="6" t="s">
        <v>284</v>
      </c>
      <c r="D90" s="8">
        <v>1.66</v>
      </c>
      <c r="E90" s="8">
        <v>2.0499999999999998</v>
      </c>
      <c r="F90" s="8">
        <v>2.09</v>
      </c>
      <c r="G90" s="8">
        <v>1.03</v>
      </c>
      <c r="H90" s="8">
        <v>0.91600000000000004</v>
      </c>
      <c r="I90" s="8">
        <v>2.1</v>
      </c>
      <c r="J90" s="8">
        <v>6.54</v>
      </c>
      <c r="K90" s="8">
        <v>6.24</v>
      </c>
      <c r="L90" s="8">
        <v>7.54</v>
      </c>
      <c r="M90" s="8">
        <v>10.199999999999999</v>
      </c>
    </row>
    <row r="91" spans="1:13" x14ac:dyDescent="0.2">
      <c r="A91" s="6">
        <v>86</v>
      </c>
      <c r="B91" s="7" t="s">
        <v>286</v>
      </c>
      <c r="C91" s="6" t="s">
        <v>287</v>
      </c>
      <c r="D91" s="8">
        <v>-39.1</v>
      </c>
      <c r="E91" s="8">
        <v>4.28</v>
      </c>
      <c r="F91" s="8">
        <v>0.54300000000000004</v>
      </c>
      <c r="G91" s="8">
        <v>3.24</v>
      </c>
      <c r="H91" s="8">
        <v>4.55</v>
      </c>
      <c r="I91" s="8">
        <v>7.76</v>
      </c>
      <c r="J91" s="8">
        <v>26.6</v>
      </c>
      <c r="K91" s="8">
        <v>20.399999999999999</v>
      </c>
      <c r="L91" s="8">
        <v>11.5</v>
      </c>
      <c r="M91" s="8">
        <v>27.3</v>
      </c>
    </row>
    <row r="92" spans="1:13" ht="30" x14ac:dyDescent="0.2">
      <c r="A92" s="6">
        <v>87</v>
      </c>
      <c r="B92" s="7" t="s">
        <v>289</v>
      </c>
      <c r="C92" s="6" t="s">
        <v>290</v>
      </c>
      <c r="D92" s="8">
        <v>0.433</v>
      </c>
      <c r="E92" s="8">
        <v>0.14199999999999999</v>
      </c>
      <c r="F92" s="8">
        <v>0.80100000000000005</v>
      </c>
      <c r="G92" s="8">
        <v>1.35</v>
      </c>
      <c r="H92" s="8">
        <v>1.39</v>
      </c>
      <c r="I92" s="8">
        <v>2.96</v>
      </c>
      <c r="J92" s="8">
        <v>1.99</v>
      </c>
      <c r="K92" s="8">
        <v>2.15</v>
      </c>
      <c r="L92" s="8">
        <v>2.12</v>
      </c>
      <c r="M92" s="8">
        <v>1.54</v>
      </c>
    </row>
    <row r="93" spans="1:13" x14ac:dyDescent="0.2">
      <c r="A93" s="6">
        <v>88</v>
      </c>
      <c r="B93" s="7" t="s">
        <v>292</v>
      </c>
      <c r="C93" s="6" t="s">
        <v>293</v>
      </c>
      <c r="D93" s="8">
        <v>36.4</v>
      </c>
      <c r="E93" s="8">
        <v>43.4</v>
      </c>
      <c r="F93" s="8">
        <v>71</v>
      </c>
      <c r="G93" s="8">
        <v>78.400000000000006</v>
      </c>
      <c r="H93" s="8">
        <v>69.5</v>
      </c>
      <c r="I93" s="8">
        <v>95.2</v>
      </c>
      <c r="J93" s="8">
        <v>128.80000000000001</v>
      </c>
      <c r="K93" s="8">
        <v>150</v>
      </c>
      <c r="L93" s="8">
        <v>130.69999999999999</v>
      </c>
      <c r="M93" s="8">
        <v>133.6</v>
      </c>
    </row>
    <row r="94" spans="1:13" x14ac:dyDescent="0.2">
      <c r="A94" s="6">
        <v>89</v>
      </c>
      <c r="B94" s="7" t="s">
        <v>295</v>
      </c>
      <c r="C94" s="6" t="s">
        <v>296</v>
      </c>
      <c r="D94" s="8">
        <v>-34.6</v>
      </c>
      <c r="E94" s="8">
        <v>-18.8</v>
      </c>
      <c r="F94" s="8">
        <v>-13.9</v>
      </c>
      <c r="G94" s="8">
        <v>-1.71</v>
      </c>
      <c r="H94" s="8">
        <v>-6.1</v>
      </c>
      <c r="I94" s="8">
        <v>18</v>
      </c>
      <c r="J94" s="8">
        <v>22</v>
      </c>
      <c r="K94" s="8">
        <v>74.599999999999994</v>
      </c>
      <c r="L94" s="8">
        <v>38</v>
      </c>
      <c r="M94" s="8">
        <v>39.9</v>
      </c>
    </row>
    <row r="95" spans="1:13" x14ac:dyDescent="0.2">
      <c r="A95" s="6">
        <v>90</v>
      </c>
      <c r="B95" s="7" t="s">
        <v>298</v>
      </c>
      <c r="C95" s="6" t="s">
        <v>299</v>
      </c>
      <c r="D95" s="8">
        <v>10.6</v>
      </c>
      <c r="E95" s="8">
        <v>6.49</v>
      </c>
      <c r="F95" s="8">
        <v>9.48</v>
      </c>
      <c r="G95" s="8">
        <v>17.8</v>
      </c>
      <c r="H95" s="8">
        <v>18.8</v>
      </c>
      <c r="I95" s="8">
        <v>5.42</v>
      </c>
      <c r="J95" s="8">
        <v>12.2</v>
      </c>
      <c r="K95" s="8">
        <v>43.6</v>
      </c>
      <c r="L95" s="8">
        <v>45.6</v>
      </c>
      <c r="M95" s="8">
        <v>52.7</v>
      </c>
    </row>
    <row r="96" spans="1:13" x14ac:dyDescent="0.2">
      <c r="A96" s="6">
        <v>91</v>
      </c>
      <c r="B96" s="7" t="s">
        <v>301</v>
      </c>
      <c r="C96" s="6" t="s">
        <v>302</v>
      </c>
      <c r="D96" s="8">
        <v>1.42</v>
      </c>
      <c r="E96" s="8">
        <v>1.67</v>
      </c>
      <c r="F96" s="8">
        <v>1.55</v>
      </c>
      <c r="G96" s="8">
        <v>1.42</v>
      </c>
      <c r="H96" s="8">
        <v>2.12</v>
      </c>
      <c r="I96" s="8">
        <v>2.2599999999999998</v>
      </c>
      <c r="J96" s="8">
        <v>1.76</v>
      </c>
      <c r="K96" s="8">
        <v>1.8</v>
      </c>
      <c r="L96" s="8">
        <v>1.55</v>
      </c>
      <c r="M96" s="8">
        <v>2.65</v>
      </c>
    </row>
    <row r="97" spans="1:13" ht="30" x14ac:dyDescent="0.2">
      <c r="A97" s="6">
        <v>92</v>
      </c>
      <c r="B97" s="7" t="s">
        <v>304</v>
      </c>
      <c r="C97" s="6" t="s">
        <v>305</v>
      </c>
      <c r="D97" s="8">
        <v>-0.33100000000000002</v>
      </c>
      <c r="E97" s="8">
        <v>4.2</v>
      </c>
      <c r="F97" s="8">
        <v>11.2</v>
      </c>
      <c r="G97" s="8">
        <v>28.4</v>
      </c>
      <c r="H97" s="8">
        <v>38.6</v>
      </c>
      <c r="I97" s="8">
        <v>40.6</v>
      </c>
      <c r="J97" s="8">
        <v>49.8</v>
      </c>
      <c r="K97" s="8">
        <v>47.8</v>
      </c>
      <c r="L97" s="8">
        <v>30.6</v>
      </c>
      <c r="M97" s="8">
        <v>24.7</v>
      </c>
    </row>
    <row r="98" spans="1:13" x14ac:dyDescent="0.2">
      <c r="A98" s="6">
        <v>93</v>
      </c>
      <c r="B98" s="7" t="s">
        <v>307</v>
      </c>
      <c r="C98" s="6" t="s">
        <v>308</v>
      </c>
      <c r="D98" s="8">
        <v>17.5</v>
      </c>
      <c r="E98" s="8">
        <v>18.399999999999999</v>
      </c>
      <c r="F98" s="8">
        <v>21.8</v>
      </c>
      <c r="G98" s="8">
        <v>23.4</v>
      </c>
      <c r="H98" s="8">
        <v>25.5</v>
      </c>
      <c r="I98" s="8">
        <v>29</v>
      </c>
      <c r="J98" s="8">
        <v>26</v>
      </c>
      <c r="K98" s="8">
        <v>28</v>
      </c>
      <c r="L98" s="8">
        <v>28.2</v>
      </c>
      <c r="M98" s="8">
        <v>29.2</v>
      </c>
    </row>
    <row r="99" spans="1:13" x14ac:dyDescent="0.2">
      <c r="A99" s="6">
        <v>94</v>
      </c>
      <c r="B99" s="7" t="s">
        <v>310</v>
      </c>
      <c r="C99" s="6" t="s">
        <v>311</v>
      </c>
      <c r="D99" s="8">
        <v>18.3</v>
      </c>
      <c r="E99" s="8">
        <v>8.6199999999999992</v>
      </c>
      <c r="F99" s="8">
        <v>-8.99</v>
      </c>
      <c r="G99" s="8">
        <v>24.9</v>
      </c>
      <c r="H99" s="8">
        <v>24.5</v>
      </c>
      <c r="I99" s="8">
        <v>29.1</v>
      </c>
      <c r="J99" s="8">
        <v>20.8</v>
      </c>
      <c r="K99" s="8">
        <v>25.6</v>
      </c>
      <c r="L99" s="8">
        <v>25.7</v>
      </c>
      <c r="M99" s="8">
        <v>26.5</v>
      </c>
    </row>
    <row r="100" spans="1:13" x14ac:dyDescent="0.2">
      <c r="A100" s="6">
        <v>95</v>
      </c>
      <c r="B100" s="7" t="s">
        <v>313</v>
      </c>
      <c r="C100" s="6" t="s">
        <v>314</v>
      </c>
      <c r="D100" s="8">
        <v>16.7</v>
      </c>
      <c r="E100" s="8">
        <v>19.3</v>
      </c>
      <c r="F100" s="8">
        <v>28.5</v>
      </c>
      <c r="G100" s="8">
        <v>28.2</v>
      </c>
      <c r="H100" s="8">
        <v>19.399999999999999</v>
      </c>
      <c r="I100" s="8">
        <v>29</v>
      </c>
      <c r="J100" s="8">
        <v>40.299999999999997</v>
      </c>
      <c r="K100" s="8">
        <v>41.7</v>
      </c>
      <c r="L100" s="8">
        <v>17.899999999999999</v>
      </c>
      <c r="M100" s="8">
        <v>11.4</v>
      </c>
    </row>
    <row r="101" spans="1:13" x14ac:dyDescent="0.2">
      <c r="A101" s="6">
        <v>96</v>
      </c>
      <c r="B101" s="7" t="s">
        <v>316</v>
      </c>
      <c r="C101" s="6" t="s">
        <v>317</v>
      </c>
      <c r="D101" s="8">
        <v>16.899999999999999</v>
      </c>
      <c r="E101" s="8">
        <v>27</v>
      </c>
      <c r="F101" s="8">
        <v>14.8</v>
      </c>
      <c r="G101" s="8">
        <v>18.899999999999999</v>
      </c>
      <c r="H101" s="8">
        <v>26</v>
      </c>
      <c r="I101" s="8">
        <v>10.4</v>
      </c>
      <c r="J101" s="8">
        <v>-0.26700000000000002</v>
      </c>
      <c r="K101" s="8">
        <v>-4.4800000000000004</v>
      </c>
      <c r="L101" s="8">
        <v>3.42</v>
      </c>
      <c r="M101" s="8">
        <v>15.1</v>
      </c>
    </row>
    <row r="102" spans="1:13" x14ac:dyDescent="0.2">
      <c r="A102" s="6">
        <v>97</v>
      </c>
      <c r="B102" s="7" t="s">
        <v>319</v>
      </c>
      <c r="C102" s="6" t="s">
        <v>320</v>
      </c>
      <c r="D102" s="8">
        <v>13.2</v>
      </c>
      <c r="E102" s="8">
        <v>12.9</v>
      </c>
      <c r="F102" s="8">
        <v>21.9</v>
      </c>
      <c r="G102" s="8">
        <v>23.7</v>
      </c>
      <c r="H102" s="8">
        <v>23.6</v>
      </c>
      <c r="I102" s="8">
        <v>36.1</v>
      </c>
      <c r="J102" s="8">
        <v>38.5</v>
      </c>
      <c r="K102" s="8">
        <v>39.700000000000003</v>
      </c>
      <c r="L102" s="8">
        <v>41.5</v>
      </c>
      <c r="M102" s="8">
        <v>58</v>
      </c>
    </row>
    <row r="103" spans="1:13" x14ac:dyDescent="0.2">
      <c r="A103" s="6">
        <v>98</v>
      </c>
      <c r="B103" s="7" t="s">
        <v>322</v>
      </c>
      <c r="C103" s="6" t="s">
        <v>323</v>
      </c>
      <c r="D103" s="8">
        <v>6.35</v>
      </c>
      <c r="E103" s="8">
        <v>5.41</v>
      </c>
      <c r="F103" s="8">
        <v>7.99</v>
      </c>
      <c r="G103" s="8">
        <v>8.73</v>
      </c>
      <c r="H103" s="8">
        <v>8.86</v>
      </c>
      <c r="I103" s="8">
        <v>12</v>
      </c>
      <c r="J103" s="8">
        <v>12.3</v>
      </c>
      <c r="K103" s="8">
        <v>10.8</v>
      </c>
      <c r="L103" s="8">
        <v>12.9</v>
      </c>
      <c r="M103" s="8">
        <v>16.600000000000001</v>
      </c>
    </row>
    <row r="104" spans="1:13" x14ac:dyDescent="0.2">
      <c r="A104" s="6">
        <v>99</v>
      </c>
      <c r="B104" s="7" t="s">
        <v>325</v>
      </c>
      <c r="C104" s="6" t="s">
        <v>326</v>
      </c>
      <c r="D104" s="8"/>
      <c r="E104" s="8">
        <v>4.1100000000000003</v>
      </c>
      <c r="F104" s="8">
        <v>5.64</v>
      </c>
      <c r="G104" s="8">
        <v>6.34</v>
      </c>
      <c r="H104" s="8">
        <v>7.04</v>
      </c>
      <c r="I104" s="8">
        <v>9.39</v>
      </c>
      <c r="J104" s="8">
        <v>8.51</v>
      </c>
      <c r="K104" s="8">
        <v>6.58</v>
      </c>
      <c r="L104" s="8">
        <v>13.6</v>
      </c>
      <c r="M104" s="8">
        <v>12.9</v>
      </c>
    </row>
    <row r="105" spans="1:13" x14ac:dyDescent="0.2">
      <c r="A105" s="6">
        <v>100</v>
      </c>
      <c r="B105" s="7" t="s">
        <v>328</v>
      </c>
      <c r="C105" s="6" t="s">
        <v>329</v>
      </c>
      <c r="D105" s="8">
        <v>12.8</v>
      </c>
      <c r="E105" s="8">
        <v>15.6</v>
      </c>
      <c r="F105" s="8">
        <v>1.76</v>
      </c>
      <c r="G105" s="8">
        <v>-1.72</v>
      </c>
      <c r="H105" s="8">
        <v>-3.4</v>
      </c>
      <c r="I105" s="8">
        <v>4.6100000000000003</v>
      </c>
      <c r="J105" s="8">
        <v>17.8</v>
      </c>
      <c r="K105" s="8">
        <v>11.3</v>
      </c>
      <c r="L105" s="8">
        <v>5.78</v>
      </c>
      <c r="M105" s="8">
        <v>-8.5399999999999991</v>
      </c>
    </row>
    <row r="106" spans="1:13" x14ac:dyDescent="0.2">
      <c r="A106" s="6">
        <v>101</v>
      </c>
      <c r="B106" s="7" t="s">
        <v>331</v>
      </c>
      <c r="C106" s="6" t="s">
        <v>332</v>
      </c>
      <c r="D106" s="8">
        <v>2.64</v>
      </c>
      <c r="E106" s="8">
        <v>1.1499999999999999</v>
      </c>
      <c r="F106" s="8">
        <v>3.82</v>
      </c>
      <c r="G106" s="8">
        <v>4.62</v>
      </c>
      <c r="H106" s="8">
        <v>5.15</v>
      </c>
      <c r="I106" s="8">
        <v>5.34</v>
      </c>
      <c r="J106" s="8">
        <v>5.86</v>
      </c>
      <c r="K106" s="8">
        <v>8</v>
      </c>
      <c r="L106" s="8">
        <v>9</v>
      </c>
      <c r="M106" s="8">
        <v>9.16</v>
      </c>
    </row>
    <row r="107" spans="1:13" x14ac:dyDescent="0.2">
      <c r="A107" s="6">
        <v>102</v>
      </c>
      <c r="B107" s="7" t="s">
        <v>334</v>
      </c>
      <c r="C107" s="6" t="s">
        <v>335</v>
      </c>
      <c r="D107" s="8">
        <v>43.3</v>
      </c>
      <c r="E107" s="8">
        <v>354.5</v>
      </c>
      <c r="F107" s="8">
        <v>205</v>
      </c>
      <c r="G107" s="8">
        <v>87.1</v>
      </c>
      <c r="H107" s="8">
        <v>63.9</v>
      </c>
      <c r="I107" s="8">
        <v>112.9</v>
      </c>
      <c r="J107" s="8">
        <v>104.5</v>
      </c>
      <c r="K107" s="8">
        <v>-49.1</v>
      </c>
      <c r="L107" s="8">
        <v>86.2</v>
      </c>
      <c r="M107" s="8">
        <v>-110.9</v>
      </c>
    </row>
    <row r="108" spans="1:13" x14ac:dyDescent="0.2">
      <c r="A108" s="6">
        <v>103</v>
      </c>
      <c r="B108" s="7" t="s">
        <v>337</v>
      </c>
      <c r="C108" s="6" t="s">
        <v>338</v>
      </c>
      <c r="D108" s="8">
        <v>0.36299999999999999</v>
      </c>
      <c r="E108" s="8">
        <v>4.01</v>
      </c>
      <c r="F108" s="8">
        <v>4.26</v>
      </c>
      <c r="G108" s="8">
        <v>2.63</v>
      </c>
      <c r="H108" s="8">
        <v>4.24</v>
      </c>
      <c r="I108" s="8">
        <v>6.18</v>
      </c>
      <c r="J108" s="8">
        <v>4.87</v>
      </c>
      <c r="K108" s="8">
        <v>8.2100000000000009</v>
      </c>
      <c r="L108" s="8">
        <v>6.59</v>
      </c>
      <c r="M108" s="8">
        <v>13.3</v>
      </c>
    </row>
    <row r="109" spans="1:13" x14ac:dyDescent="0.2">
      <c r="A109" s="6">
        <v>104</v>
      </c>
      <c r="B109" s="7" t="s">
        <v>340</v>
      </c>
      <c r="C109" s="6" t="s">
        <v>341</v>
      </c>
      <c r="D109" s="8">
        <v>48.7</v>
      </c>
      <c r="E109" s="8">
        <v>77.599999999999994</v>
      </c>
      <c r="F109" s="8">
        <v>106.6</v>
      </c>
      <c r="G109" s="8">
        <v>103.7</v>
      </c>
      <c r="H109" s="8">
        <v>104.8</v>
      </c>
      <c r="I109" s="8">
        <v>324</v>
      </c>
      <c r="J109" s="8">
        <v>351.2</v>
      </c>
      <c r="K109" s="8">
        <v>181.5</v>
      </c>
      <c r="L109" s="8">
        <v>-18</v>
      </c>
      <c r="M109" s="8">
        <v>36.4</v>
      </c>
    </row>
    <row r="110" spans="1:13" x14ac:dyDescent="0.2">
      <c r="A110" s="6">
        <v>105</v>
      </c>
      <c r="B110" s="7" t="s">
        <v>343</v>
      </c>
      <c r="C110" s="6" t="s">
        <v>344</v>
      </c>
      <c r="D110" s="8">
        <v>13.3</v>
      </c>
      <c r="E110" s="8">
        <v>14.6</v>
      </c>
      <c r="F110" s="8">
        <v>21.4</v>
      </c>
      <c r="G110" s="8">
        <v>16.5</v>
      </c>
      <c r="H110" s="8">
        <v>24</v>
      </c>
      <c r="I110" s="8">
        <v>62.2</v>
      </c>
      <c r="J110" s="8">
        <v>58.9</v>
      </c>
      <c r="K110" s="8">
        <v>-12</v>
      </c>
      <c r="L110" s="8">
        <v>-43.2</v>
      </c>
      <c r="M110" s="8">
        <v>5.21</v>
      </c>
    </row>
    <row r="111" spans="1:13" x14ac:dyDescent="0.2">
      <c r="A111" s="6">
        <v>106</v>
      </c>
      <c r="B111" s="7" t="s">
        <v>346</v>
      </c>
      <c r="C111" s="6" t="s">
        <v>347</v>
      </c>
      <c r="D111" s="8">
        <v>5.88</v>
      </c>
      <c r="E111" s="8">
        <v>13.3</v>
      </c>
      <c r="F111" s="8">
        <v>17.7</v>
      </c>
      <c r="G111" s="8">
        <v>16.8</v>
      </c>
      <c r="H111" s="8">
        <v>39.4</v>
      </c>
      <c r="I111" s="8">
        <v>1.63</v>
      </c>
      <c r="J111" s="8">
        <v>33.4</v>
      </c>
      <c r="K111" s="8">
        <v>29.5</v>
      </c>
      <c r="L111" s="8">
        <v>24.9</v>
      </c>
      <c r="M111" s="8">
        <v>12</v>
      </c>
    </row>
    <row r="112" spans="1:13" x14ac:dyDescent="0.2">
      <c r="A112" s="6">
        <v>107</v>
      </c>
      <c r="B112" s="7" t="s">
        <v>349</v>
      </c>
      <c r="C112" s="6" t="s">
        <v>350</v>
      </c>
      <c r="D112" s="8">
        <v>11</v>
      </c>
      <c r="E112" s="8">
        <v>6.82</v>
      </c>
      <c r="F112" s="8">
        <v>16.899999999999999</v>
      </c>
      <c r="G112" s="8">
        <v>12.6</v>
      </c>
      <c r="H112" s="8">
        <v>17.2</v>
      </c>
      <c r="I112" s="8">
        <v>27.5</v>
      </c>
      <c r="J112" s="8">
        <v>18.2</v>
      </c>
      <c r="K112" s="8">
        <v>17.600000000000001</v>
      </c>
      <c r="L112" s="8">
        <v>22.2</v>
      </c>
      <c r="M112" s="8">
        <v>21.3</v>
      </c>
    </row>
    <row r="113" spans="1:13" x14ac:dyDescent="0.2">
      <c r="A113" s="6">
        <v>108</v>
      </c>
      <c r="B113" s="7" t="s">
        <v>352</v>
      </c>
      <c r="C113" s="6" t="s">
        <v>353</v>
      </c>
      <c r="D113" s="8">
        <v>18.100000000000001</v>
      </c>
      <c r="E113" s="8">
        <v>31.3</v>
      </c>
      <c r="F113" s="8">
        <v>44</v>
      </c>
      <c r="G113" s="8">
        <v>54.3</v>
      </c>
      <c r="H113" s="8">
        <v>68.7</v>
      </c>
      <c r="I113" s="8">
        <v>74.400000000000006</v>
      </c>
      <c r="J113" s="8">
        <v>39.5</v>
      </c>
      <c r="K113" s="8">
        <v>17.600000000000001</v>
      </c>
      <c r="L113" s="8">
        <v>-45.8</v>
      </c>
      <c r="M113" s="8">
        <v>-22.3</v>
      </c>
    </row>
    <row r="114" spans="1:13" x14ac:dyDescent="0.2">
      <c r="A114" s="6">
        <v>109</v>
      </c>
      <c r="B114" s="7" t="s">
        <v>355</v>
      </c>
      <c r="C114" s="6" t="s">
        <v>356</v>
      </c>
      <c r="D114" s="8">
        <v>20.399999999999999</v>
      </c>
      <c r="E114" s="8">
        <v>21.6</v>
      </c>
      <c r="F114" s="8">
        <v>20.8</v>
      </c>
      <c r="G114" s="8">
        <v>20.399999999999999</v>
      </c>
      <c r="H114" s="8">
        <v>19.3</v>
      </c>
      <c r="I114" s="8">
        <v>18.399999999999999</v>
      </c>
      <c r="J114" s="8">
        <v>19.5</v>
      </c>
      <c r="K114" s="8">
        <v>22.5</v>
      </c>
      <c r="L114" s="8">
        <v>23</v>
      </c>
      <c r="M114" s="8">
        <v>22.4</v>
      </c>
    </row>
    <row r="115" spans="1:13" x14ac:dyDescent="0.2">
      <c r="A115" s="6">
        <v>110</v>
      </c>
      <c r="B115" s="7" t="s">
        <v>358</v>
      </c>
      <c r="C115" s="6" t="s">
        <v>359</v>
      </c>
      <c r="D115" s="8">
        <v>51.9</v>
      </c>
      <c r="E115" s="8">
        <v>62.1</v>
      </c>
      <c r="F115" s="8">
        <v>138.1</v>
      </c>
      <c r="G115" s="8">
        <v>143.80000000000001</v>
      </c>
      <c r="H115" s="8">
        <v>23.5</v>
      </c>
      <c r="I115" s="8">
        <v>200.6</v>
      </c>
      <c r="J115" s="8">
        <v>-133.1</v>
      </c>
      <c r="K115" s="8">
        <v>176.2</v>
      </c>
      <c r="L115" s="8">
        <v>193.6</v>
      </c>
      <c r="M115" s="8">
        <v>67.400000000000006</v>
      </c>
    </row>
    <row r="116" spans="1:13" x14ac:dyDescent="0.2">
      <c r="A116" s="6">
        <v>111</v>
      </c>
      <c r="B116" s="7" t="s">
        <v>361</v>
      </c>
      <c r="C116" s="6" t="s">
        <v>362</v>
      </c>
      <c r="D116" s="8">
        <v>-26.7</v>
      </c>
      <c r="E116" s="8">
        <v>-13</v>
      </c>
      <c r="F116" s="8">
        <v>-2.78</v>
      </c>
      <c r="G116" s="8">
        <v>0.18</v>
      </c>
      <c r="H116" s="8">
        <v>-1.71</v>
      </c>
      <c r="I116" s="8">
        <v>3.22</v>
      </c>
      <c r="J116" s="8">
        <v>6.47</v>
      </c>
      <c r="K116" s="8">
        <v>4.9400000000000004</v>
      </c>
      <c r="L116" s="8">
        <v>6.17</v>
      </c>
      <c r="M116" s="8">
        <v>6.57</v>
      </c>
    </row>
    <row r="117" spans="1:13" x14ac:dyDescent="0.2">
      <c r="A117" s="6">
        <v>112</v>
      </c>
      <c r="B117" s="7" t="s">
        <v>364</v>
      </c>
      <c r="C117" s="6" t="s">
        <v>365</v>
      </c>
      <c r="D117" s="8">
        <v>11.5</v>
      </c>
      <c r="E117" s="8">
        <v>14.1</v>
      </c>
      <c r="F117" s="8">
        <v>20.399999999999999</v>
      </c>
      <c r="G117" s="8">
        <v>7.26</v>
      </c>
      <c r="H117" s="8">
        <v>25.9</v>
      </c>
      <c r="I117" s="8">
        <v>24.4</v>
      </c>
      <c r="J117" s="8">
        <v>18</v>
      </c>
      <c r="K117" s="8">
        <v>9.83</v>
      </c>
      <c r="L117" s="8">
        <v>13</v>
      </c>
      <c r="M117" s="8">
        <v>13.7</v>
      </c>
    </row>
    <row r="118" spans="1:13" ht="30" x14ac:dyDescent="0.2">
      <c r="A118" s="6">
        <v>113</v>
      </c>
      <c r="B118" s="7" t="s">
        <v>367</v>
      </c>
      <c r="C118" s="6" t="s">
        <v>368</v>
      </c>
      <c r="D118" s="8">
        <v>6.1</v>
      </c>
      <c r="E118" s="8">
        <v>5.42</v>
      </c>
      <c r="F118" s="8">
        <v>8.1300000000000008</v>
      </c>
      <c r="G118" s="8">
        <v>8.6199999999999992</v>
      </c>
      <c r="H118" s="8">
        <v>7.39</v>
      </c>
      <c r="I118" s="8">
        <v>11.8</v>
      </c>
      <c r="J118" s="8">
        <v>13.5</v>
      </c>
      <c r="K118" s="8">
        <v>10.9</v>
      </c>
      <c r="L118" s="8">
        <v>10.4</v>
      </c>
      <c r="M118" s="8">
        <v>12.2</v>
      </c>
    </row>
    <row r="119" spans="1:13" x14ac:dyDescent="0.2">
      <c r="A119" s="6">
        <v>114</v>
      </c>
      <c r="B119" s="7" t="s">
        <v>370</v>
      </c>
      <c r="C119" s="6" t="s">
        <v>371</v>
      </c>
      <c r="D119" s="8">
        <v>12.1</v>
      </c>
      <c r="E119" s="8">
        <v>13.3</v>
      </c>
      <c r="F119" s="8">
        <v>12.5</v>
      </c>
      <c r="G119" s="8">
        <v>11.8</v>
      </c>
      <c r="H119" s="8">
        <v>4.16</v>
      </c>
      <c r="I119" s="8">
        <v>4.43</v>
      </c>
      <c r="J119" s="8">
        <v>9.36</v>
      </c>
      <c r="K119" s="8">
        <v>15.9</v>
      </c>
      <c r="L119" s="8">
        <v>13.7</v>
      </c>
      <c r="M119" s="8">
        <v>15.7</v>
      </c>
    </row>
    <row r="120" spans="1:13" x14ac:dyDescent="0.2">
      <c r="A120" s="6">
        <v>115</v>
      </c>
      <c r="B120" s="7" t="s">
        <v>373</v>
      </c>
      <c r="C120" s="6" t="s">
        <v>374</v>
      </c>
      <c r="D120" s="8">
        <v>24.5</v>
      </c>
      <c r="E120" s="8">
        <v>25.1</v>
      </c>
      <c r="F120" s="8">
        <v>40</v>
      </c>
      <c r="G120" s="8">
        <v>40.1</v>
      </c>
      <c r="H120" s="8">
        <v>89.2</v>
      </c>
      <c r="I120" s="8">
        <v>167.3</v>
      </c>
      <c r="J120" s="8">
        <v>181.7</v>
      </c>
      <c r="K120" s="8">
        <v>90.5</v>
      </c>
      <c r="L120" s="8">
        <v>55.2</v>
      </c>
      <c r="M120" s="8">
        <v>-57.6</v>
      </c>
    </row>
    <row r="121" spans="1:13" ht="30" x14ac:dyDescent="0.2">
      <c r="A121" s="6">
        <v>116</v>
      </c>
      <c r="B121" s="7" t="s">
        <v>376</v>
      </c>
      <c r="C121" s="6" t="s">
        <v>377</v>
      </c>
      <c r="D121" s="8">
        <v>67.2</v>
      </c>
      <c r="E121" s="8">
        <v>61.4</v>
      </c>
      <c r="F121" s="8">
        <v>80.8</v>
      </c>
      <c r="G121" s="8">
        <v>83.9</v>
      </c>
      <c r="H121" s="8">
        <v>70.599999999999994</v>
      </c>
      <c r="I121" s="8">
        <v>-40.700000000000003</v>
      </c>
      <c r="J121" s="8">
        <v>78.099999999999994</v>
      </c>
      <c r="K121" s="8">
        <v>119.6</v>
      </c>
      <c r="L121" s="8">
        <v>100.7</v>
      </c>
      <c r="M121" s="8">
        <v>17.5</v>
      </c>
    </row>
    <row r="122" spans="1:13" x14ac:dyDescent="0.2">
      <c r="A122" s="6">
        <v>117</v>
      </c>
      <c r="B122" s="7" t="s">
        <v>379</v>
      </c>
      <c r="C122" s="6" t="s">
        <v>380</v>
      </c>
      <c r="D122" s="8">
        <v>18.5</v>
      </c>
      <c r="E122" s="8">
        <v>11.9</v>
      </c>
      <c r="F122" s="8">
        <v>24.8</v>
      </c>
      <c r="G122" s="8">
        <v>29.8</v>
      </c>
      <c r="H122" s="8">
        <v>28.4</v>
      </c>
      <c r="I122" s="8">
        <v>40.799999999999997</v>
      </c>
      <c r="J122" s="8">
        <v>41.8</v>
      </c>
      <c r="K122" s="8">
        <v>28.5</v>
      </c>
      <c r="L122" s="8">
        <v>27.5</v>
      </c>
      <c r="M122" s="8">
        <v>37.799999999999997</v>
      </c>
    </row>
    <row r="123" spans="1:13" x14ac:dyDescent="0.2">
      <c r="A123" s="6">
        <v>118</v>
      </c>
      <c r="B123" s="7" t="s">
        <v>382</v>
      </c>
      <c r="C123" s="6" t="s">
        <v>383</v>
      </c>
      <c r="D123" s="8">
        <v>13.1</v>
      </c>
      <c r="E123" s="8">
        <v>-103.1</v>
      </c>
      <c r="F123" s="8">
        <v>77.3</v>
      </c>
      <c r="G123" s="8">
        <v>34.799999999999997</v>
      </c>
      <c r="H123" s="8">
        <v>-6.28</v>
      </c>
      <c r="I123" s="8">
        <v>-71.400000000000006</v>
      </c>
      <c r="J123" s="8">
        <v>-128.5</v>
      </c>
      <c r="K123" s="8">
        <v>-40.9</v>
      </c>
      <c r="L123" s="8">
        <v>36</v>
      </c>
      <c r="M123" s="8">
        <v>43.8</v>
      </c>
    </row>
    <row r="124" spans="1:13" ht="30" x14ac:dyDescent="0.2">
      <c r="A124" s="6">
        <v>119</v>
      </c>
      <c r="B124" s="7" t="s">
        <v>385</v>
      </c>
      <c r="C124" s="6" t="s">
        <v>386</v>
      </c>
      <c r="D124" s="8">
        <v>11.2</v>
      </c>
      <c r="E124" s="8">
        <v>11</v>
      </c>
      <c r="F124" s="8">
        <v>22.1</v>
      </c>
      <c r="G124" s="8">
        <v>15.2</v>
      </c>
      <c r="H124" s="8">
        <v>-1.72</v>
      </c>
      <c r="I124" s="8">
        <v>25.2</v>
      </c>
      <c r="J124" s="8">
        <v>37.700000000000003</v>
      </c>
      <c r="K124" s="8">
        <v>37.700000000000003</v>
      </c>
      <c r="L124" s="8">
        <v>4.96</v>
      </c>
      <c r="M124" s="8">
        <v>16.600000000000001</v>
      </c>
    </row>
    <row r="125" spans="1:13" x14ac:dyDescent="0.2">
      <c r="A125" s="6">
        <v>120</v>
      </c>
      <c r="B125" s="7" t="s">
        <v>388</v>
      </c>
      <c r="C125" s="6" t="s">
        <v>389</v>
      </c>
      <c r="D125" s="8">
        <v>51.2</v>
      </c>
      <c r="E125" s="8">
        <v>57.8</v>
      </c>
      <c r="F125" s="8">
        <v>75.400000000000006</v>
      </c>
      <c r="G125" s="8">
        <v>16.5</v>
      </c>
      <c r="H125" s="8">
        <v>-9.68</v>
      </c>
      <c r="I125" s="8">
        <v>164.4</v>
      </c>
      <c r="J125" s="8">
        <v>-7.74</v>
      </c>
      <c r="K125" s="8">
        <v>389</v>
      </c>
      <c r="L125" s="8">
        <v>76.900000000000006</v>
      </c>
      <c r="M125" s="8">
        <v>130.1</v>
      </c>
    </row>
    <row r="126" spans="1:13" ht="30" x14ac:dyDescent="0.2">
      <c r="A126" s="6">
        <v>121</v>
      </c>
      <c r="B126" s="7" t="s">
        <v>391</v>
      </c>
      <c r="C126" s="6" t="s">
        <v>392</v>
      </c>
      <c r="D126" s="8">
        <v>3.29</v>
      </c>
      <c r="E126" s="8">
        <v>2.92</v>
      </c>
      <c r="F126" s="8">
        <v>5.3</v>
      </c>
      <c r="G126" s="8">
        <v>5.61</v>
      </c>
      <c r="H126" s="8">
        <v>4.9800000000000004</v>
      </c>
      <c r="I126" s="8">
        <v>7.59</v>
      </c>
      <c r="J126" s="8">
        <v>8.9600000000000009</v>
      </c>
      <c r="K126" s="8">
        <v>8.6999999999999993</v>
      </c>
      <c r="L126" s="8">
        <v>7.94</v>
      </c>
      <c r="M126" s="8">
        <v>9.02</v>
      </c>
    </row>
    <row r="127" spans="1:13" x14ac:dyDescent="0.2">
      <c r="A127" s="6">
        <v>122</v>
      </c>
      <c r="B127" s="7" t="s">
        <v>394</v>
      </c>
      <c r="C127" s="6" t="s">
        <v>395</v>
      </c>
      <c r="D127" s="8">
        <v>3.08</v>
      </c>
      <c r="E127" s="8">
        <v>3.68</v>
      </c>
      <c r="F127" s="8">
        <v>6.25</v>
      </c>
      <c r="G127" s="8">
        <v>9.1999999999999993</v>
      </c>
      <c r="H127" s="8">
        <v>11.5</v>
      </c>
      <c r="I127" s="8">
        <v>20.5</v>
      </c>
      <c r="J127" s="8">
        <v>26.5</v>
      </c>
      <c r="K127" s="8">
        <v>33.6</v>
      </c>
      <c r="L127" s="8">
        <v>34.1</v>
      </c>
      <c r="M127" s="8">
        <v>23.6</v>
      </c>
    </row>
    <row r="128" spans="1:13" x14ac:dyDescent="0.2">
      <c r="A128" s="6">
        <v>123</v>
      </c>
      <c r="B128" s="7" t="s">
        <v>397</v>
      </c>
      <c r="C128" s="6" t="s">
        <v>398</v>
      </c>
      <c r="D128" s="8">
        <v>5.93</v>
      </c>
      <c r="E128" s="8">
        <v>5.92</v>
      </c>
      <c r="F128" s="8">
        <v>7.21</v>
      </c>
      <c r="G128" s="8">
        <v>7.79</v>
      </c>
      <c r="H128" s="8">
        <v>7.05</v>
      </c>
      <c r="I128" s="8">
        <v>12.8</v>
      </c>
      <c r="J128" s="8">
        <v>10.199999999999999</v>
      </c>
      <c r="K128" s="8">
        <v>10.199999999999999</v>
      </c>
      <c r="L128" s="8">
        <v>9.81</v>
      </c>
      <c r="M128" s="8">
        <v>13.7</v>
      </c>
    </row>
    <row r="129" spans="1:13" x14ac:dyDescent="0.2">
      <c r="A129" s="6">
        <v>124</v>
      </c>
      <c r="B129" s="7" t="s">
        <v>400</v>
      </c>
      <c r="C129" s="6" t="s">
        <v>401</v>
      </c>
      <c r="D129" s="8">
        <v>34.1</v>
      </c>
      <c r="E129" s="8">
        <v>146.69999999999999</v>
      </c>
      <c r="F129" s="8">
        <v>66.2</v>
      </c>
      <c r="G129" s="8">
        <v>41.3</v>
      </c>
      <c r="H129" s="8">
        <v>46.1</v>
      </c>
      <c r="I129" s="8">
        <v>139.80000000000001</v>
      </c>
      <c r="J129" s="8">
        <v>171.9</v>
      </c>
      <c r="K129" s="8">
        <v>54.6</v>
      </c>
      <c r="L129" s="8">
        <v>44.1</v>
      </c>
      <c r="M129" s="8">
        <v>49.3</v>
      </c>
    </row>
    <row r="130" spans="1:13" ht="30" x14ac:dyDescent="0.2">
      <c r="A130" s="6">
        <v>125</v>
      </c>
      <c r="B130" s="7" t="s">
        <v>403</v>
      </c>
      <c r="C130" s="6" t="s">
        <v>404</v>
      </c>
      <c r="D130" s="8"/>
      <c r="E130" s="8">
        <v>6.11</v>
      </c>
      <c r="F130" s="8">
        <v>44.7</v>
      </c>
      <c r="G130" s="8">
        <v>47.2</v>
      </c>
      <c r="H130" s="8">
        <v>46.2</v>
      </c>
      <c r="I130" s="8">
        <v>52.9</v>
      </c>
      <c r="J130" s="8">
        <v>81.5</v>
      </c>
      <c r="K130" s="8">
        <v>88</v>
      </c>
      <c r="L130" s="8">
        <v>106.4</v>
      </c>
      <c r="M130" s="8">
        <v>104.4</v>
      </c>
    </row>
    <row r="131" spans="1:13" x14ac:dyDescent="0.2">
      <c r="A131" s="6">
        <v>126</v>
      </c>
      <c r="B131" s="7" t="s">
        <v>406</v>
      </c>
      <c r="C131" s="6" t="s">
        <v>407</v>
      </c>
      <c r="D131" s="8">
        <v>23.5</v>
      </c>
      <c r="E131" s="8">
        <v>0.27800000000000002</v>
      </c>
      <c r="F131" s="8">
        <v>-25</v>
      </c>
      <c r="G131" s="8">
        <v>-1.76</v>
      </c>
      <c r="H131" s="8">
        <v>-34.799999999999997</v>
      </c>
      <c r="I131" s="8">
        <v>54.1</v>
      </c>
      <c r="J131" s="8">
        <v>43.8</v>
      </c>
      <c r="K131" s="8">
        <v>55.1</v>
      </c>
      <c r="L131" s="8">
        <v>35.9</v>
      </c>
      <c r="M131" s="8">
        <v>43</v>
      </c>
    </row>
    <row r="132" spans="1:13" ht="30" x14ac:dyDescent="0.2">
      <c r="A132" s="6">
        <v>127</v>
      </c>
      <c r="B132" s="7" t="s">
        <v>409</v>
      </c>
      <c r="C132" s="6" t="s">
        <v>410</v>
      </c>
      <c r="D132" s="8">
        <v>24.2</v>
      </c>
      <c r="E132" s="8">
        <v>21.1</v>
      </c>
      <c r="F132" s="8">
        <v>25.6</v>
      </c>
      <c r="G132" s="8">
        <v>10</v>
      </c>
      <c r="H132" s="8">
        <v>18.8</v>
      </c>
      <c r="I132" s="8">
        <v>17.8</v>
      </c>
      <c r="J132" s="8">
        <v>-115</v>
      </c>
      <c r="K132" s="8">
        <v>-47.3</v>
      </c>
      <c r="L132" s="8">
        <v>16.100000000000001</v>
      </c>
      <c r="M132" s="8">
        <v>31.6</v>
      </c>
    </row>
    <row r="133" spans="1:13" ht="30" x14ac:dyDescent="0.2">
      <c r="A133" s="6">
        <v>128</v>
      </c>
      <c r="B133" s="7" t="s">
        <v>412</v>
      </c>
      <c r="C133" s="6" t="s">
        <v>413</v>
      </c>
      <c r="D133" s="8">
        <v>3.5</v>
      </c>
      <c r="E133" s="8">
        <v>3.5</v>
      </c>
      <c r="F133" s="8">
        <v>4.57</v>
      </c>
      <c r="G133" s="8">
        <v>5.0599999999999996</v>
      </c>
      <c r="H133" s="8">
        <v>5.0199999999999996</v>
      </c>
      <c r="I133" s="8">
        <v>5.63</v>
      </c>
      <c r="J133" s="8">
        <v>8.16</v>
      </c>
      <c r="K133" s="8">
        <v>8.5</v>
      </c>
      <c r="L133" s="8">
        <v>8.56</v>
      </c>
      <c r="M133" s="8">
        <v>9.6300000000000008</v>
      </c>
    </row>
    <row r="134" spans="1:13" x14ac:dyDescent="0.2">
      <c r="A134" s="6">
        <v>129</v>
      </c>
      <c r="B134" s="7" t="s">
        <v>415</v>
      </c>
      <c r="C134" s="6" t="s">
        <v>416</v>
      </c>
      <c r="D134" s="8">
        <v>2.0299999999999998</v>
      </c>
      <c r="E134" s="8">
        <v>2.2200000000000002</v>
      </c>
      <c r="F134" s="8">
        <v>2.2799999999999998</v>
      </c>
      <c r="G134" s="8">
        <v>2.2999999999999998</v>
      </c>
      <c r="H134" s="8">
        <v>2.6</v>
      </c>
      <c r="I134" s="8">
        <v>4.6900000000000004</v>
      </c>
      <c r="J134" s="8">
        <v>4.5</v>
      </c>
      <c r="K134" s="8">
        <v>4.4800000000000004</v>
      </c>
      <c r="L134" s="8">
        <v>4.07</v>
      </c>
      <c r="M134" s="8">
        <v>4.1900000000000004</v>
      </c>
    </row>
    <row r="135" spans="1:13" x14ac:dyDescent="0.2">
      <c r="A135" s="6">
        <v>130</v>
      </c>
      <c r="B135" s="7" t="s">
        <v>418</v>
      </c>
      <c r="C135" s="6" t="s">
        <v>419</v>
      </c>
      <c r="D135" s="8">
        <v>5.51</v>
      </c>
      <c r="E135" s="8">
        <v>6.18</v>
      </c>
      <c r="F135" s="8">
        <v>8.19</v>
      </c>
      <c r="G135" s="8">
        <v>9.74</v>
      </c>
      <c r="H135" s="8">
        <v>11.1</v>
      </c>
      <c r="I135" s="8">
        <v>14.5</v>
      </c>
      <c r="J135" s="8">
        <v>16.7</v>
      </c>
      <c r="K135" s="8">
        <v>17.5</v>
      </c>
      <c r="L135" s="8">
        <v>18.399999999999999</v>
      </c>
      <c r="M135" s="8">
        <v>21.5</v>
      </c>
    </row>
    <row r="136" spans="1:13" x14ac:dyDescent="0.2">
      <c r="A136" s="6">
        <v>131</v>
      </c>
      <c r="B136" s="7" t="s">
        <v>421</v>
      </c>
      <c r="C136" s="6" t="s">
        <v>422</v>
      </c>
      <c r="D136" s="8">
        <v>-18</v>
      </c>
      <c r="E136" s="8">
        <v>2</v>
      </c>
      <c r="F136" s="8">
        <v>5.25</v>
      </c>
      <c r="G136" s="8">
        <v>16.899999999999999</v>
      </c>
      <c r="H136" s="8">
        <v>-240.8</v>
      </c>
      <c r="I136" s="8">
        <v>141.69999999999999</v>
      </c>
      <c r="J136" s="8">
        <v>58.4</v>
      </c>
      <c r="K136" s="8">
        <v>34</v>
      </c>
      <c r="L136" s="8">
        <v>7.09</v>
      </c>
      <c r="M136" s="8">
        <v>-12.5</v>
      </c>
    </row>
    <row r="137" spans="1:13" x14ac:dyDescent="0.2">
      <c r="A137" s="6">
        <v>132</v>
      </c>
      <c r="B137" s="7" t="s">
        <v>424</v>
      </c>
      <c r="C137" s="6" t="s">
        <v>425</v>
      </c>
      <c r="D137" s="8">
        <v>32.299999999999997</v>
      </c>
      <c r="E137" s="8">
        <v>31.7</v>
      </c>
      <c r="F137" s="8">
        <v>16.8</v>
      </c>
      <c r="G137" s="8">
        <v>10.3</v>
      </c>
      <c r="H137" s="8">
        <v>28.8</v>
      </c>
      <c r="I137" s="8">
        <v>42.2</v>
      </c>
      <c r="J137" s="8">
        <v>54.7</v>
      </c>
      <c r="K137" s="8">
        <v>31.7</v>
      </c>
      <c r="L137" s="8">
        <v>60.2</v>
      </c>
      <c r="M137" s="8">
        <v>36.6</v>
      </c>
    </row>
    <row r="138" spans="1:13" ht="30" x14ac:dyDescent="0.2">
      <c r="A138" s="6">
        <v>133</v>
      </c>
      <c r="B138" s="7" t="s">
        <v>427</v>
      </c>
      <c r="C138" s="6" t="s">
        <v>428</v>
      </c>
      <c r="D138" s="8">
        <v>13.4</v>
      </c>
      <c r="E138" s="8">
        <v>33.9</v>
      </c>
      <c r="F138" s="8">
        <v>29.5</v>
      </c>
      <c r="G138" s="8">
        <v>56.9</v>
      </c>
      <c r="H138" s="8">
        <v>44.6</v>
      </c>
      <c r="I138" s="8">
        <v>93.5</v>
      </c>
      <c r="J138" s="8">
        <v>29.9</v>
      </c>
      <c r="K138" s="8">
        <v>148.4</v>
      </c>
      <c r="L138" s="8">
        <v>157.80000000000001</v>
      </c>
      <c r="M138" s="8">
        <v>68.3</v>
      </c>
    </row>
    <row r="139" spans="1:13" x14ac:dyDescent="0.2">
      <c r="A139" s="6">
        <v>134</v>
      </c>
      <c r="B139" s="7" t="s">
        <v>430</v>
      </c>
      <c r="C139" s="6" t="s">
        <v>431</v>
      </c>
      <c r="D139" s="8">
        <v>-31.1</v>
      </c>
      <c r="E139" s="8">
        <v>20.100000000000001</v>
      </c>
      <c r="F139" s="8">
        <v>46.1</v>
      </c>
      <c r="G139" s="8">
        <v>41.7</v>
      </c>
      <c r="H139" s="8">
        <v>5.15</v>
      </c>
      <c r="I139" s="8">
        <v>26.7</v>
      </c>
      <c r="J139" s="8">
        <v>79.5</v>
      </c>
      <c r="K139" s="8">
        <v>73.900000000000006</v>
      </c>
      <c r="L139" s="8">
        <v>84.4</v>
      </c>
      <c r="M139" s="8">
        <v>38.799999999999997</v>
      </c>
    </row>
    <row r="140" spans="1:13" x14ac:dyDescent="0.2">
      <c r="A140" s="6">
        <v>135</v>
      </c>
      <c r="B140" s="7" t="s">
        <v>433</v>
      </c>
      <c r="C140" s="6" t="s">
        <v>434</v>
      </c>
      <c r="D140" s="8">
        <v>18</v>
      </c>
      <c r="E140" s="8">
        <v>19.600000000000001</v>
      </c>
      <c r="F140" s="8">
        <v>23.5</v>
      </c>
      <c r="G140" s="8">
        <v>25.5</v>
      </c>
      <c r="H140" s="8">
        <v>27.1</v>
      </c>
      <c r="I140" s="8">
        <v>36.299999999999997</v>
      </c>
      <c r="J140" s="8">
        <v>39</v>
      </c>
      <c r="K140" s="8">
        <v>29.5</v>
      </c>
      <c r="L140" s="8">
        <v>27</v>
      </c>
      <c r="M140" s="8">
        <v>34.4</v>
      </c>
    </row>
    <row r="141" spans="1:13" x14ac:dyDescent="0.2">
      <c r="A141" s="6">
        <v>136</v>
      </c>
      <c r="B141" s="7" t="s">
        <v>436</v>
      </c>
      <c r="C141" s="6" t="s">
        <v>437</v>
      </c>
      <c r="D141" s="8">
        <v>0.624</v>
      </c>
      <c r="E141" s="8">
        <v>-10.1</v>
      </c>
      <c r="F141" s="8">
        <v>-17.899999999999999</v>
      </c>
      <c r="G141" s="8">
        <v>0.26100000000000001</v>
      </c>
      <c r="H141" s="8">
        <v>-23</v>
      </c>
      <c r="I141" s="8">
        <v>47.3</v>
      </c>
      <c r="J141" s="8">
        <v>48</v>
      </c>
      <c r="K141" s="8">
        <v>52.8</v>
      </c>
      <c r="L141" s="8">
        <v>51.8</v>
      </c>
      <c r="M141" s="8">
        <v>52.2</v>
      </c>
    </row>
    <row r="142" spans="1:13" x14ac:dyDescent="0.2">
      <c r="A142" s="6">
        <v>137</v>
      </c>
      <c r="B142" s="7" t="s">
        <v>439</v>
      </c>
      <c r="C142" s="6" t="s">
        <v>440</v>
      </c>
      <c r="D142" s="8">
        <v>97.4</v>
      </c>
      <c r="E142" s="8">
        <v>-111.8</v>
      </c>
      <c r="F142" s="8">
        <v>-51.9</v>
      </c>
      <c r="G142" s="8">
        <v>61.4</v>
      </c>
      <c r="H142" s="8">
        <v>-56.4</v>
      </c>
      <c r="I142" s="8">
        <v>114.9</v>
      </c>
      <c r="J142" s="8">
        <v>71.900000000000006</v>
      </c>
      <c r="K142" s="8">
        <v>-16.8</v>
      </c>
      <c r="L142" s="8">
        <v>-18.899999999999999</v>
      </c>
      <c r="M142" s="8">
        <v>13.3</v>
      </c>
    </row>
    <row r="143" spans="1:13" x14ac:dyDescent="0.2">
      <c r="A143" s="6">
        <v>138</v>
      </c>
      <c r="B143" s="7" t="s">
        <v>442</v>
      </c>
      <c r="C143" s="6" t="s">
        <v>443</v>
      </c>
      <c r="D143" s="8">
        <v>105.8</v>
      </c>
      <c r="E143" s="8">
        <v>132.6</v>
      </c>
      <c r="F143" s="8">
        <v>141.69999999999999</v>
      </c>
      <c r="G143" s="8">
        <v>114</v>
      </c>
      <c r="H143" s="8">
        <v>70.7</v>
      </c>
      <c r="I143" s="8">
        <v>327.39999999999998</v>
      </c>
      <c r="J143" s="8">
        <v>444.1</v>
      </c>
      <c r="K143" s="8">
        <v>210.7</v>
      </c>
      <c r="L143" s="8">
        <v>-147</v>
      </c>
      <c r="M143" s="8">
        <v>-95.7</v>
      </c>
    </row>
    <row r="144" spans="1:13" ht="30" x14ac:dyDescent="0.2">
      <c r="A144" s="6">
        <v>139</v>
      </c>
      <c r="B144" s="7" t="s">
        <v>445</v>
      </c>
      <c r="C144" s="6" t="s">
        <v>446</v>
      </c>
      <c r="D144" s="8">
        <v>22.7</v>
      </c>
      <c r="E144" s="8">
        <v>22.8</v>
      </c>
      <c r="F144" s="8">
        <v>32.5</v>
      </c>
      <c r="G144" s="8">
        <v>33.9</v>
      </c>
      <c r="H144" s="8">
        <v>38.4</v>
      </c>
      <c r="I144" s="8">
        <v>36.5</v>
      </c>
      <c r="J144" s="8">
        <v>42.4</v>
      </c>
      <c r="K144" s="8">
        <v>31.5</v>
      </c>
      <c r="L144" s="8">
        <v>44.4</v>
      </c>
      <c r="M144" s="8">
        <v>42.8</v>
      </c>
    </row>
    <row r="145" spans="1:13" x14ac:dyDescent="0.2">
      <c r="A145" s="6">
        <v>140</v>
      </c>
      <c r="B145" s="7" t="s">
        <v>448</v>
      </c>
      <c r="C145" s="6" t="s">
        <v>449</v>
      </c>
      <c r="D145" s="8">
        <v>-5.08</v>
      </c>
      <c r="E145" s="8">
        <v>-3.92</v>
      </c>
      <c r="F145" s="8">
        <v>1.97</v>
      </c>
      <c r="G145" s="8">
        <v>4.75</v>
      </c>
      <c r="H145" s="8">
        <v>7.67</v>
      </c>
      <c r="I145" s="8">
        <v>3.03</v>
      </c>
      <c r="J145" s="8">
        <v>-2.29</v>
      </c>
      <c r="K145" s="8">
        <v>7.01</v>
      </c>
      <c r="L145" s="8">
        <v>4.32</v>
      </c>
      <c r="M145" s="8">
        <v>36.1</v>
      </c>
    </row>
    <row r="146" spans="1:13" x14ac:dyDescent="0.2">
      <c r="A146" s="6">
        <v>141</v>
      </c>
      <c r="B146" s="7" t="s">
        <v>451</v>
      </c>
      <c r="C146" s="6" t="s">
        <v>452</v>
      </c>
      <c r="D146" s="8">
        <v>39</v>
      </c>
      <c r="E146" s="8">
        <v>55.3</v>
      </c>
      <c r="F146" s="8">
        <v>43.9</v>
      </c>
      <c r="G146" s="8">
        <v>49.2</v>
      </c>
      <c r="H146" s="8">
        <v>-86.6</v>
      </c>
      <c r="I146" s="8">
        <v>30.7</v>
      </c>
      <c r="J146" s="8">
        <v>38.6</v>
      </c>
      <c r="K146" s="8">
        <v>23.7</v>
      </c>
      <c r="L146" s="8">
        <v>56.2</v>
      </c>
      <c r="M146" s="8">
        <v>46.9</v>
      </c>
    </row>
    <row r="147" spans="1:13" x14ac:dyDescent="0.2">
      <c r="A147" s="6">
        <v>142</v>
      </c>
      <c r="B147" s="7" t="s">
        <v>454</v>
      </c>
      <c r="C147" s="6" t="s">
        <v>455</v>
      </c>
      <c r="D147" s="8">
        <v>48.5</v>
      </c>
      <c r="E147" s="8">
        <v>37</v>
      </c>
      <c r="F147" s="8">
        <v>75.5</v>
      </c>
      <c r="G147" s="8">
        <v>95.6</v>
      </c>
      <c r="H147" s="8">
        <v>80</v>
      </c>
      <c r="I147" s="8">
        <v>208.1</v>
      </c>
      <c r="J147" s="8">
        <v>117.5</v>
      </c>
      <c r="K147" s="8">
        <v>130.6</v>
      </c>
      <c r="L147" s="8">
        <v>121.7</v>
      </c>
      <c r="M147" s="8">
        <v>138.4</v>
      </c>
    </row>
    <row r="148" spans="1:13" x14ac:dyDescent="0.2">
      <c r="A148" s="6">
        <v>143</v>
      </c>
      <c r="B148" s="7" t="s">
        <v>457</v>
      </c>
      <c r="C148" s="6" t="s">
        <v>458</v>
      </c>
      <c r="D148" s="8">
        <v>-41</v>
      </c>
      <c r="E148" s="8">
        <v>-17</v>
      </c>
      <c r="F148" s="8">
        <v>16</v>
      </c>
      <c r="G148" s="8">
        <v>11.1</v>
      </c>
      <c r="H148" s="8">
        <v>19.2</v>
      </c>
      <c r="I148" s="8">
        <v>44.4</v>
      </c>
      <c r="J148" s="8">
        <v>106.2</v>
      </c>
      <c r="K148" s="8">
        <v>106.6</v>
      </c>
      <c r="L148" s="8">
        <v>30.8</v>
      </c>
      <c r="M148" s="8">
        <v>-61.8</v>
      </c>
    </row>
    <row r="149" spans="1:13" x14ac:dyDescent="0.2">
      <c r="A149" s="6">
        <v>144</v>
      </c>
      <c r="B149" s="7" t="s">
        <v>460</v>
      </c>
      <c r="C149" s="6" t="s">
        <v>461</v>
      </c>
      <c r="D149" s="8">
        <v>3.44</v>
      </c>
      <c r="E149" s="8">
        <v>2.67</v>
      </c>
      <c r="F149" s="8">
        <v>4.93</v>
      </c>
      <c r="G149" s="8">
        <v>5.51</v>
      </c>
      <c r="H149" s="8">
        <v>3.9</v>
      </c>
      <c r="I149" s="8">
        <v>9.17</v>
      </c>
      <c r="J149" s="8">
        <v>12.5</v>
      </c>
      <c r="K149" s="8">
        <v>15</v>
      </c>
      <c r="L149" s="8">
        <v>18.7</v>
      </c>
      <c r="M149" s="8">
        <v>15.8</v>
      </c>
    </row>
    <row r="150" spans="1:13" ht="30" x14ac:dyDescent="0.2">
      <c r="A150" s="6">
        <v>145</v>
      </c>
      <c r="B150" s="7" t="s">
        <v>463</v>
      </c>
      <c r="C150" s="6" t="s">
        <v>464</v>
      </c>
      <c r="D150" s="8">
        <v>3.87</v>
      </c>
      <c r="E150" s="8">
        <v>2.92</v>
      </c>
      <c r="F150" s="8">
        <v>6.84</v>
      </c>
      <c r="G150" s="8">
        <v>6.65</v>
      </c>
      <c r="H150" s="8">
        <v>5.71</v>
      </c>
      <c r="I150" s="8">
        <v>7.5</v>
      </c>
      <c r="J150" s="8">
        <v>9.06</v>
      </c>
      <c r="K150" s="8">
        <v>10.6</v>
      </c>
      <c r="L150" s="8">
        <v>10.6</v>
      </c>
      <c r="M150" s="8">
        <v>9.8800000000000008</v>
      </c>
    </row>
    <row r="151" spans="1:13" x14ac:dyDescent="0.2">
      <c r="A151" s="6">
        <v>146</v>
      </c>
      <c r="B151" s="7" t="s">
        <v>466</v>
      </c>
      <c r="C151" s="6" t="s">
        <v>467</v>
      </c>
      <c r="D151" s="8">
        <v>5.12</v>
      </c>
      <c r="E151" s="8">
        <v>4.29</v>
      </c>
      <c r="F151" s="8">
        <v>6.2</v>
      </c>
      <c r="G151" s="8">
        <v>6.51</v>
      </c>
      <c r="H151" s="8">
        <v>4.8099999999999996</v>
      </c>
      <c r="I151" s="8">
        <v>5.94</v>
      </c>
      <c r="J151" s="8">
        <v>9.3000000000000007</v>
      </c>
      <c r="K151" s="8">
        <v>11.2</v>
      </c>
      <c r="L151" s="8">
        <v>11.3</v>
      </c>
      <c r="M151" s="8">
        <v>12.6</v>
      </c>
    </row>
    <row r="152" spans="1:13" x14ac:dyDescent="0.2">
      <c r="A152" s="6">
        <v>147</v>
      </c>
      <c r="B152" s="7" t="s">
        <v>469</v>
      </c>
      <c r="C152" s="6" t="s">
        <v>470</v>
      </c>
      <c r="D152" s="8">
        <v>2.72</v>
      </c>
      <c r="E152" s="8">
        <v>1.89</v>
      </c>
      <c r="F152" s="8">
        <v>1.69</v>
      </c>
      <c r="G152" s="8">
        <v>1.66</v>
      </c>
      <c r="H152" s="8">
        <v>1.31</v>
      </c>
      <c r="I152" s="8">
        <v>-0.77900000000000003</v>
      </c>
      <c r="J152" s="8">
        <v>3.71</v>
      </c>
      <c r="K152" s="8">
        <v>3.54</v>
      </c>
      <c r="L152" s="8">
        <v>3.21</v>
      </c>
      <c r="M152" s="8">
        <v>3.85</v>
      </c>
    </row>
    <row r="153" spans="1:13" ht="30" x14ac:dyDescent="0.2">
      <c r="A153" s="6">
        <v>148</v>
      </c>
      <c r="B153" s="7" t="s">
        <v>472</v>
      </c>
      <c r="C153" s="6" t="s">
        <v>473</v>
      </c>
      <c r="D153" s="8">
        <v>86.4</v>
      </c>
      <c r="E153" s="8">
        <v>112.7</v>
      </c>
      <c r="F153" s="8">
        <v>123.4</v>
      </c>
      <c r="G153" s="8">
        <v>104.7</v>
      </c>
      <c r="H153" s="8">
        <v>-125.2</v>
      </c>
      <c r="I153" s="8">
        <v>26.2</v>
      </c>
      <c r="J153" s="8">
        <v>123.7</v>
      </c>
      <c r="K153" s="8">
        <v>129.9</v>
      </c>
      <c r="L153" s="8">
        <v>85.1</v>
      </c>
      <c r="M153" s="8">
        <v>0.3</v>
      </c>
    </row>
    <row r="154" spans="1:13" x14ac:dyDescent="0.2">
      <c r="A154" s="6">
        <v>149</v>
      </c>
      <c r="B154" s="7" t="s">
        <v>475</v>
      </c>
      <c r="C154" s="6" t="s">
        <v>476</v>
      </c>
      <c r="D154" s="8">
        <v>68.8</v>
      </c>
      <c r="E154" s="8">
        <v>127.2</v>
      </c>
      <c r="F154" s="8">
        <v>136.19999999999999</v>
      </c>
      <c r="G154" s="8">
        <v>139.69999999999999</v>
      </c>
      <c r="H154" s="8">
        <v>-21.4</v>
      </c>
      <c r="I154" s="8">
        <v>28.4</v>
      </c>
      <c r="J154" s="8">
        <v>98.1</v>
      </c>
      <c r="K154" s="8">
        <v>116.4</v>
      </c>
      <c r="L154" s="8">
        <v>-24</v>
      </c>
      <c r="M154" s="8">
        <v>78</v>
      </c>
    </row>
    <row r="155" spans="1:13" ht="30" x14ac:dyDescent="0.2">
      <c r="A155" s="6">
        <v>150</v>
      </c>
      <c r="B155" s="7" t="s">
        <v>478</v>
      </c>
      <c r="C155" s="6" t="s">
        <v>479</v>
      </c>
      <c r="D155" s="8">
        <v>51.7</v>
      </c>
      <c r="E155" s="8">
        <v>41.8</v>
      </c>
      <c r="F155" s="8">
        <v>83.1</v>
      </c>
      <c r="G155" s="8">
        <v>83.3</v>
      </c>
      <c r="H155" s="8">
        <v>76.3</v>
      </c>
      <c r="I155" s="8">
        <v>100</v>
      </c>
      <c r="J155" s="8">
        <v>114.1</v>
      </c>
      <c r="K155" s="8">
        <v>55.9</v>
      </c>
      <c r="L155" s="8">
        <v>55.8</v>
      </c>
      <c r="M155" s="8">
        <v>93.7</v>
      </c>
    </row>
    <row r="158" spans="1:13" ht="16" x14ac:dyDescent="0.2">
      <c r="B158" s="3" t="s">
        <v>1101</v>
      </c>
    </row>
    <row r="159" spans="1:13" ht="27.75" customHeight="1" x14ac:dyDescent="0.2">
      <c r="A159" s="5" t="s">
        <v>8</v>
      </c>
      <c r="B159" s="5" t="s">
        <v>9</v>
      </c>
      <c r="C159" s="5" t="s">
        <v>10</v>
      </c>
      <c r="D159" s="5" t="s">
        <v>1102</v>
      </c>
      <c r="E159" s="5" t="s">
        <v>1103</v>
      </c>
      <c r="F159" s="5" t="s">
        <v>1104</v>
      </c>
      <c r="G159" s="5" t="s">
        <v>1105</v>
      </c>
      <c r="H159" s="5" t="s">
        <v>1106</v>
      </c>
      <c r="I159" s="5" t="s">
        <v>1107</v>
      </c>
      <c r="J159" s="5" t="s">
        <v>1108</v>
      </c>
      <c r="K159" s="5" t="s">
        <v>1109</v>
      </c>
      <c r="L159" s="5" t="s">
        <v>1110</v>
      </c>
      <c r="M159" s="5" t="s">
        <v>1111</v>
      </c>
    </row>
    <row r="160" spans="1:13" ht="30" x14ac:dyDescent="0.2">
      <c r="A160" s="6">
        <v>1</v>
      </c>
      <c r="B160" s="7" t="s">
        <v>25</v>
      </c>
      <c r="C160" s="6" t="s">
        <v>26</v>
      </c>
      <c r="D160" s="8">
        <v>10.3</v>
      </c>
      <c r="E160" s="8">
        <v>10.3</v>
      </c>
      <c r="F160" s="8">
        <v>10.3</v>
      </c>
      <c r="G160" s="8">
        <v>10.3</v>
      </c>
      <c r="H160" s="8">
        <v>10.3</v>
      </c>
      <c r="I160" s="8">
        <v>10.3</v>
      </c>
      <c r="J160" s="8">
        <v>10.3</v>
      </c>
      <c r="K160" s="8">
        <v>10.3</v>
      </c>
      <c r="L160" s="8">
        <v>10.3</v>
      </c>
      <c r="M160" s="8">
        <v>10.3</v>
      </c>
    </row>
    <row r="161" spans="1:13" ht="30" x14ac:dyDescent="0.2">
      <c r="A161" s="6">
        <v>2</v>
      </c>
      <c r="B161" s="7" t="s">
        <v>30</v>
      </c>
      <c r="C161" s="6" t="s">
        <v>31</v>
      </c>
      <c r="D161" s="8">
        <v>62.9</v>
      </c>
      <c r="E161" s="8">
        <v>22.5</v>
      </c>
      <c r="F161" s="8">
        <v>0</v>
      </c>
      <c r="G161" s="8">
        <v>21</v>
      </c>
      <c r="H161" s="8">
        <v>14</v>
      </c>
      <c r="I161" s="8">
        <v>21</v>
      </c>
      <c r="J161" s="8">
        <v>14</v>
      </c>
      <c r="K161" s="8">
        <v>7</v>
      </c>
      <c r="L161" s="8">
        <v>0</v>
      </c>
      <c r="M161" s="8">
        <v>0</v>
      </c>
    </row>
    <row r="162" spans="1:13" x14ac:dyDescent="0.2">
      <c r="A162" s="6">
        <v>3</v>
      </c>
      <c r="B162" s="7" t="s">
        <v>34</v>
      </c>
      <c r="C162" s="6" t="s">
        <v>35</v>
      </c>
      <c r="D162" s="8">
        <v>0</v>
      </c>
      <c r="E162" s="8">
        <v>0</v>
      </c>
      <c r="F162" s="8">
        <v>0</v>
      </c>
      <c r="G162" s="8">
        <v>0</v>
      </c>
      <c r="H162" s="8">
        <v>0</v>
      </c>
      <c r="I162" s="8">
        <v>0</v>
      </c>
      <c r="J162" s="8">
        <v>0</v>
      </c>
      <c r="K162" s="8">
        <v>0</v>
      </c>
      <c r="L162" s="8">
        <v>119.6</v>
      </c>
      <c r="M162" s="8">
        <v>116.6</v>
      </c>
    </row>
    <row r="163" spans="1:13" x14ac:dyDescent="0.2">
      <c r="A163" s="6">
        <v>4</v>
      </c>
      <c r="B163" s="7" t="s">
        <v>37</v>
      </c>
      <c r="C163" s="6" t="s">
        <v>38</v>
      </c>
      <c r="D163" s="8">
        <v>0</v>
      </c>
      <c r="E163" s="8">
        <v>0</v>
      </c>
      <c r="F163" s="8">
        <v>0</v>
      </c>
      <c r="G163" s="8">
        <v>0</v>
      </c>
      <c r="H163" s="8">
        <v>0</v>
      </c>
      <c r="I163" s="8">
        <v>0</v>
      </c>
      <c r="J163" s="8">
        <v>0</v>
      </c>
      <c r="K163" s="8">
        <v>0</v>
      </c>
      <c r="L163" s="8">
        <v>0</v>
      </c>
      <c r="M163" s="8">
        <v>0</v>
      </c>
    </row>
    <row r="164" spans="1:13" x14ac:dyDescent="0.2">
      <c r="A164" s="6">
        <v>5</v>
      </c>
      <c r="B164" s="7" t="s">
        <v>40</v>
      </c>
      <c r="C164" s="6" t="s">
        <v>41</v>
      </c>
      <c r="D164" s="8">
        <v>0</v>
      </c>
      <c r="E164" s="8">
        <v>0</v>
      </c>
      <c r="F164" s="8">
        <v>0</v>
      </c>
      <c r="G164" s="8">
        <v>0</v>
      </c>
      <c r="H164" s="8">
        <v>0</v>
      </c>
      <c r="I164" s="8">
        <v>0</v>
      </c>
      <c r="J164" s="8">
        <v>0</v>
      </c>
      <c r="K164" s="8">
        <v>0</v>
      </c>
      <c r="L164" s="8">
        <v>0</v>
      </c>
      <c r="M164" s="8"/>
    </row>
    <row r="165" spans="1:13" ht="30" x14ac:dyDescent="0.2">
      <c r="A165" s="6">
        <v>6</v>
      </c>
      <c r="B165" s="7" t="s">
        <v>43</v>
      </c>
      <c r="C165" s="6" t="s">
        <v>44</v>
      </c>
      <c r="D165" s="8">
        <v>68.7</v>
      </c>
      <c r="E165" s="8">
        <v>217.9</v>
      </c>
      <c r="F165" s="8">
        <v>309</v>
      </c>
      <c r="G165" s="8">
        <v>329.4</v>
      </c>
      <c r="H165" s="8">
        <v>429.2</v>
      </c>
      <c r="I165" s="8">
        <v>413</v>
      </c>
      <c r="J165" s="8">
        <v>456.8</v>
      </c>
      <c r="K165" s="8">
        <v>330.9</v>
      </c>
      <c r="L165" s="8">
        <v>320</v>
      </c>
      <c r="M165" s="8">
        <v>252.1</v>
      </c>
    </row>
    <row r="166" spans="1:13" ht="30" x14ac:dyDescent="0.2">
      <c r="A166" s="6">
        <v>7</v>
      </c>
      <c r="B166" s="7" t="s">
        <v>47</v>
      </c>
      <c r="C166" s="6" t="s">
        <v>48</v>
      </c>
      <c r="D166" s="8">
        <v>219.8</v>
      </c>
      <c r="E166" s="8">
        <v>265.5</v>
      </c>
      <c r="F166" s="8">
        <v>396.2</v>
      </c>
      <c r="G166" s="8">
        <v>400.9</v>
      </c>
      <c r="H166" s="8">
        <v>441.6</v>
      </c>
      <c r="I166" s="8">
        <v>495.9</v>
      </c>
      <c r="J166" s="8">
        <v>445.8</v>
      </c>
      <c r="K166" s="8">
        <v>606.5</v>
      </c>
      <c r="L166" s="8">
        <v>526.70000000000005</v>
      </c>
      <c r="M166" s="8">
        <v>416</v>
      </c>
    </row>
    <row r="167" spans="1:13" x14ac:dyDescent="0.2">
      <c r="A167" s="6">
        <v>8</v>
      </c>
      <c r="B167" s="7" t="s">
        <v>50</v>
      </c>
      <c r="C167" s="6" t="s">
        <v>51</v>
      </c>
      <c r="D167" s="8">
        <v>176.6</v>
      </c>
      <c r="E167" s="8">
        <v>173.5</v>
      </c>
      <c r="F167" s="8">
        <v>201.5</v>
      </c>
      <c r="G167" s="8">
        <v>403.3</v>
      </c>
      <c r="H167" s="8">
        <v>344.6</v>
      </c>
      <c r="I167" s="8">
        <v>271.5</v>
      </c>
      <c r="J167" s="8">
        <v>407.4</v>
      </c>
      <c r="K167" s="8">
        <v>557.70000000000005</v>
      </c>
      <c r="L167" s="8">
        <v>502.6</v>
      </c>
      <c r="M167" s="8">
        <v>453</v>
      </c>
    </row>
    <row r="168" spans="1:13" x14ac:dyDescent="0.2">
      <c r="A168" s="6">
        <v>9</v>
      </c>
      <c r="B168" s="7" t="s">
        <v>54</v>
      </c>
      <c r="C168" s="6" t="s">
        <v>55</v>
      </c>
      <c r="D168" s="8">
        <v>0</v>
      </c>
      <c r="E168" s="8">
        <v>0</v>
      </c>
      <c r="F168" s="8">
        <v>0</v>
      </c>
      <c r="G168" s="8">
        <v>0</v>
      </c>
      <c r="H168" s="8">
        <v>0</v>
      </c>
      <c r="I168" s="8">
        <v>0</v>
      </c>
      <c r="J168" s="8">
        <v>0</v>
      </c>
      <c r="K168" s="8">
        <v>0</v>
      </c>
      <c r="L168" s="8">
        <v>0</v>
      </c>
      <c r="M168" s="8">
        <v>0</v>
      </c>
    </row>
    <row r="169" spans="1:13" ht="30" x14ac:dyDescent="0.2">
      <c r="A169" s="6">
        <v>10</v>
      </c>
      <c r="B169" s="7" t="s">
        <v>57</v>
      </c>
      <c r="C169" s="6" t="s">
        <v>58</v>
      </c>
      <c r="D169" s="8">
        <v>20.3</v>
      </c>
      <c r="E169" s="8">
        <v>22.7</v>
      </c>
      <c r="F169" s="8">
        <v>18.2</v>
      </c>
      <c r="G169" s="8">
        <v>13.6</v>
      </c>
      <c r="H169" s="8">
        <v>7.6</v>
      </c>
      <c r="I169" s="8">
        <v>19.600000000000001</v>
      </c>
      <c r="J169" s="8">
        <v>49.3</v>
      </c>
      <c r="K169" s="8">
        <v>49.5</v>
      </c>
      <c r="L169" s="8">
        <v>83.8</v>
      </c>
      <c r="M169" s="8">
        <v>54.1</v>
      </c>
    </row>
    <row r="170" spans="1:13" x14ac:dyDescent="0.2">
      <c r="A170" s="6">
        <v>11</v>
      </c>
      <c r="B170" s="7" t="s">
        <v>60</v>
      </c>
      <c r="C170" s="6" t="s">
        <v>61</v>
      </c>
      <c r="D170" s="8">
        <v>32.9</v>
      </c>
      <c r="E170" s="8">
        <v>47.2</v>
      </c>
      <c r="F170" s="8">
        <v>43.7</v>
      </c>
      <c r="G170" s="8">
        <v>36.4</v>
      </c>
      <c r="H170" s="8">
        <v>45.2</v>
      </c>
      <c r="I170" s="8">
        <v>44.1</v>
      </c>
      <c r="J170" s="8">
        <v>60.6</v>
      </c>
      <c r="K170" s="8">
        <v>23.4</v>
      </c>
      <c r="L170" s="8">
        <v>27.5</v>
      </c>
      <c r="M170" s="8">
        <v>21.3</v>
      </c>
    </row>
    <row r="171" spans="1:13" x14ac:dyDescent="0.2">
      <c r="A171" s="6">
        <v>12</v>
      </c>
      <c r="B171" s="7" t="s">
        <v>63</v>
      </c>
      <c r="C171" s="6" t="s">
        <v>64</v>
      </c>
      <c r="D171" s="8">
        <v>34.4</v>
      </c>
      <c r="E171" s="8">
        <v>34.6</v>
      </c>
      <c r="F171" s="8">
        <v>34.799999999999997</v>
      </c>
      <c r="G171" s="8">
        <v>34.9</v>
      </c>
      <c r="H171" s="8">
        <v>35.1</v>
      </c>
      <c r="I171" s="8">
        <v>84.4</v>
      </c>
      <c r="J171" s="8">
        <v>84.7</v>
      </c>
      <c r="K171" s="8">
        <v>165</v>
      </c>
      <c r="L171" s="8">
        <v>165.2</v>
      </c>
      <c r="M171" s="8">
        <v>120.5</v>
      </c>
    </row>
    <row r="172" spans="1:13" x14ac:dyDescent="0.2">
      <c r="A172" s="6">
        <v>13</v>
      </c>
      <c r="B172" s="7" t="s">
        <v>66</v>
      </c>
      <c r="C172" s="6" t="s">
        <v>67</v>
      </c>
      <c r="D172" s="8">
        <v>0</v>
      </c>
      <c r="E172" s="8">
        <v>0</v>
      </c>
      <c r="F172" s="8">
        <v>0</v>
      </c>
      <c r="G172" s="8">
        <v>0</v>
      </c>
      <c r="H172" s="8">
        <v>0</v>
      </c>
      <c r="I172" s="8">
        <v>0</v>
      </c>
      <c r="J172" s="8">
        <v>9.59</v>
      </c>
      <c r="K172" s="8">
        <v>108.6</v>
      </c>
      <c r="L172" s="8">
        <v>28.1</v>
      </c>
      <c r="M172" s="8">
        <v>188.2</v>
      </c>
    </row>
    <row r="173" spans="1:13" x14ac:dyDescent="0.2">
      <c r="A173" s="6">
        <v>14</v>
      </c>
      <c r="B173" s="7" t="s">
        <v>69</v>
      </c>
      <c r="C173" s="6" t="s">
        <v>70</v>
      </c>
      <c r="D173" s="8">
        <v>0</v>
      </c>
      <c r="E173" s="8">
        <v>0</v>
      </c>
      <c r="F173" s="8">
        <v>0</v>
      </c>
      <c r="G173" s="8">
        <v>0</v>
      </c>
      <c r="H173" s="8">
        <v>0</v>
      </c>
      <c r="I173" s="8">
        <v>0</v>
      </c>
      <c r="J173" s="8">
        <v>0</v>
      </c>
      <c r="K173" s="8">
        <v>0</v>
      </c>
      <c r="L173" s="8">
        <v>0</v>
      </c>
      <c r="M173" s="8">
        <v>0</v>
      </c>
    </row>
    <row r="174" spans="1:13" ht="30" x14ac:dyDescent="0.2">
      <c r="A174" s="6">
        <v>15</v>
      </c>
      <c r="B174" s="7" t="s">
        <v>72</v>
      </c>
      <c r="C174" s="6" t="s">
        <v>73</v>
      </c>
      <c r="D174" s="8">
        <v>0</v>
      </c>
      <c r="E174" s="8">
        <v>0</v>
      </c>
      <c r="F174" s="8">
        <v>0</v>
      </c>
      <c r="G174" s="8">
        <v>0</v>
      </c>
      <c r="H174" s="8">
        <v>30</v>
      </c>
      <c r="I174" s="8">
        <v>30</v>
      </c>
      <c r="J174" s="8">
        <v>35</v>
      </c>
      <c r="K174" s="8">
        <v>30</v>
      </c>
      <c r="L174" s="8">
        <v>0</v>
      </c>
      <c r="M174" s="8">
        <v>50</v>
      </c>
    </row>
    <row r="175" spans="1:13" ht="30" x14ac:dyDescent="0.2">
      <c r="A175" s="6">
        <v>16</v>
      </c>
      <c r="B175" s="7" t="s">
        <v>76</v>
      </c>
      <c r="C175" s="6" t="s">
        <v>77</v>
      </c>
      <c r="D175" s="8">
        <v>40.6</v>
      </c>
      <c r="E175" s="8">
        <v>20.6</v>
      </c>
      <c r="F175" s="8">
        <v>20.6</v>
      </c>
      <c r="G175" s="8">
        <v>15.6</v>
      </c>
      <c r="H175" s="8">
        <v>15.5</v>
      </c>
      <c r="I175" s="8">
        <v>15.5</v>
      </c>
      <c r="J175" s="8">
        <v>15.5</v>
      </c>
      <c r="K175" s="8">
        <v>15.5</v>
      </c>
      <c r="L175" s="8">
        <v>15.5</v>
      </c>
      <c r="M175" s="8">
        <v>15.5</v>
      </c>
    </row>
    <row r="176" spans="1:13" x14ac:dyDescent="0.2">
      <c r="A176" s="6">
        <v>17</v>
      </c>
      <c r="B176" s="7" t="s">
        <v>79</v>
      </c>
      <c r="C176" s="6" t="s">
        <v>80</v>
      </c>
      <c r="D176" s="8">
        <v>1191.5</v>
      </c>
      <c r="E176" s="8">
        <v>692.2</v>
      </c>
      <c r="F176" s="8">
        <v>1237.5</v>
      </c>
      <c r="G176" s="8">
        <v>1476.5</v>
      </c>
      <c r="H176" s="8">
        <v>1304.7</v>
      </c>
      <c r="I176" s="8">
        <v>1814.4</v>
      </c>
      <c r="J176" s="8">
        <v>1867</v>
      </c>
      <c r="K176" s="8">
        <v>1676.2</v>
      </c>
      <c r="L176" s="8">
        <v>1360.4</v>
      </c>
      <c r="M176" s="8">
        <v>1544.9</v>
      </c>
    </row>
    <row r="177" spans="1:13" x14ac:dyDescent="0.2">
      <c r="A177" s="6">
        <v>18</v>
      </c>
      <c r="B177" s="7" t="s">
        <v>82</v>
      </c>
      <c r="C177" s="6" t="s">
        <v>83</v>
      </c>
      <c r="D177" s="8">
        <v>152.19999999999999</v>
      </c>
      <c r="E177" s="8">
        <v>147.19999999999999</v>
      </c>
      <c r="F177" s="8">
        <v>144.80000000000001</v>
      </c>
      <c r="G177" s="8">
        <v>69.8</v>
      </c>
      <c r="H177" s="8">
        <v>49.4</v>
      </c>
      <c r="I177" s="8">
        <v>49.4</v>
      </c>
      <c r="J177" s="8">
        <v>49.4</v>
      </c>
      <c r="K177" s="8">
        <v>45.4</v>
      </c>
      <c r="L177" s="8">
        <v>85.4</v>
      </c>
      <c r="M177" s="8">
        <v>85.5</v>
      </c>
    </row>
    <row r="178" spans="1:13" x14ac:dyDescent="0.2">
      <c r="A178" s="6">
        <v>19</v>
      </c>
      <c r="B178" s="7" t="s">
        <v>85</v>
      </c>
      <c r="C178" s="6" t="s">
        <v>86</v>
      </c>
      <c r="D178" s="8">
        <v>106.6</v>
      </c>
      <c r="E178" s="8">
        <v>109.6</v>
      </c>
      <c r="F178" s="8">
        <v>106.5</v>
      </c>
      <c r="G178" s="8">
        <v>108.6</v>
      </c>
      <c r="H178" s="8">
        <v>112.3</v>
      </c>
      <c r="I178" s="8">
        <v>292.5</v>
      </c>
      <c r="J178" s="8">
        <v>292.8</v>
      </c>
      <c r="K178" s="8">
        <v>289.39999999999998</v>
      </c>
      <c r="L178" s="8">
        <v>286.89999999999998</v>
      </c>
      <c r="M178" s="8">
        <v>285.3</v>
      </c>
    </row>
    <row r="179" spans="1:13" ht="30" x14ac:dyDescent="0.2">
      <c r="A179" s="6">
        <v>20</v>
      </c>
      <c r="B179" s="7" t="s">
        <v>88</v>
      </c>
      <c r="C179" s="6" t="s">
        <v>89</v>
      </c>
      <c r="D179" s="8">
        <v>67.8</v>
      </c>
      <c r="E179" s="8">
        <v>66.900000000000006</v>
      </c>
      <c r="F179" s="8">
        <v>61.5</v>
      </c>
      <c r="G179" s="8">
        <v>59.4</v>
      </c>
      <c r="H179" s="8">
        <v>55.9</v>
      </c>
      <c r="I179" s="8">
        <v>53.8</v>
      </c>
      <c r="J179" s="8">
        <v>53.4</v>
      </c>
      <c r="K179" s="8">
        <v>53.2</v>
      </c>
      <c r="L179" s="8">
        <v>53.7</v>
      </c>
      <c r="M179" s="8">
        <v>43.3</v>
      </c>
    </row>
    <row r="180" spans="1:13" x14ac:dyDescent="0.2">
      <c r="A180" s="6">
        <v>21</v>
      </c>
      <c r="B180" s="7" t="s">
        <v>91</v>
      </c>
      <c r="C180" s="6" t="s">
        <v>92</v>
      </c>
      <c r="D180" s="8">
        <v>53.9</v>
      </c>
      <c r="E180" s="8">
        <v>54.6</v>
      </c>
      <c r="F180" s="8">
        <v>54.6</v>
      </c>
      <c r="G180" s="8">
        <v>55.4</v>
      </c>
      <c r="H180" s="8">
        <v>61.2</v>
      </c>
      <c r="I180" s="8">
        <v>46.4</v>
      </c>
      <c r="J180" s="8">
        <v>30.8</v>
      </c>
      <c r="K180" s="8">
        <v>63.3</v>
      </c>
      <c r="L180" s="8">
        <v>70.8</v>
      </c>
      <c r="M180" s="8">
        <v>26.8</v>
      </c>
    </row>
    <row r="181" spans="1:13" ht="30" x14ac:dyDescent="0.2">
      <c r="A181" s="6">
        <v>22</v>
      </c>
      <c r="B181" s="7" t="s">
        <v>94</v>
      </c>
      <c r="C181" s="6" t="s">
        <v>95</v>
      </c>
      <c r="D181" s="8">
        <v>32.4</v>
      </c>
      <c r="E181" s="8">
        <v>39.5</v>
      </c>
      <c r="F181" s="8">
        <v>30.9</v>
      </c>
      <c r="G181" s="8">
        <v>38.6</v>
      </c>
      <c r="H181" s="8">
        <v>33.6</v>
      </c>
      <c r="I181" s="8">
        <v>74.400000000000006</v>
      </c>
      <c r="J181" s="8">
        <v>72.8</v>
      </c>
      <c r="K181" s="8">
        <v>589</v>
      </c>
      <c r="L181" s="8">
        <v>601.20000000000005</v>
      </c>
      <c r="M181" s="8">
        <v>608.70000000000005</v>
      </c>
    </row>
    <row r="182" spans="1:13" x14ac:dyDescent="0.2">
      <c r="A182" s="6">
        <v>23</v>
      </c>
      <c r="B182" s="7" t="s">
        <v>97</v>
      </c>
      <c r="C182" s="6" t="s">
        <v>98</v>
      </c>
      <c r="D182" s="8">
        <v>0</v>
      </c>
      <c r="E182" s="8">
        <v>60</v>
      </c>
      <c r="F182" s="8">
        <v>45</v>
      </c>
      <c r="G182" s="8">
        <v>20</v>
      </c>
      <c r="H182" s="8">
        <v>50</v>
      </c>
      <c r="I182" s="8">
        <v>119.3</v>
      </c>
      <c r="J182" s="8">
        <v>119.4</v>
      </c>
      <c r="K182" s="8">
        <v>119.4</v>
      </c>
      <c r="L182" s="8">
        <v>199.5</v>
      </c>
      <c r="M182" s="8">
        <v>194.6</v>
      </c>
    </row>
    <row r="183" spans="1:13" x14ac:dyDescent="0.2">
      <c r="A183" s="6">
        <v>24</v>
      </c>
      <c r="B183" s="7" t="s">
        <v>100</v>
      </c>
      <c r="C183" s="6" t="s">
        <v>101</v>
      </c>
      <c r="D183" s="8">
        <v>0</v>
      </c>
      <c r="E183" s="8">
        <v>0</v>
      </c>
      <c r="F183" s="8">
        <v>0</v>
      </c>
      <c r="G183" s="8">
        <v>0</v>
      </c>
      <c r="H183" s="8">
        <v>0</v>
      </c>
      <c r="I183" s="8">
        <v>0</v>
      </c>
      <c r="J183" s="8">
        <v>0</v>
      </c>
      <c r="K183" s="8">
        <v>0</v>
      </c>
      <c r="L183" s="8">
        <v>0</v>
      </c>
      <c r="M183" s="8">
        <v>0</v>
      </c>
    </row>
    <row r="184" spans="1:13" x14ac:dyDescent="0.2">
      <c r="A184" s="6">
        <v>25</v>
      </c>
      <c r="B184" s="7" t="s">
        <v>103</v>
      </c>
      <c r="C184" s="6" t="s">
        <v>104</v>
      </c>
      <c r="D184" s="8">
        <v>0</v>
      </c>
      <c r="E184" s="8">
        <v>0</v>
      </c>
      <c r="F184" s="8">
        <v>0</v>
      </c>
      <c r="G184" s="8">
        <v>0</v>
      </c>
      <c r="H184" s="8">
        <v>0</v>
      </c>
      <c r="I184" s="8">
        <v>0</v>
      </c>
      <c r="J184" s="8">
        <v>0</v>
      </c>
      <c r="K184" s="8">
        <v>0</v>
      </c>
      <c r="L184" s="8">
        <v>0</v>
      </c>
      <c r="M184" s="8">
        <v>0</v>
      </c>
    </row>
    <row r="185" spans="1:13" x14ac:dyDescent="0.2">
      <c r="A185" s="6">
        <v>26</v>
      </c>
      <c r="B185" s="7" t="s">
        <v>106</v>
      </c>
      <c r="C185" s="6" t="s">
        <v>107</v>
      </c>
      <c r="D185" s="8">
        <v>0</v>
      </c>
      <c r="E185" s="8">
        <v>0</v>
      </c>
      <c r="F185" s="8">
        <v>0</v>
      </c>
      <c r="G185" s="8">
        <v>0</v>
      </c>
      <c r="H185" s="8">
        <v>0</v>
      </c>
      <c r="I185" s="8">
        <v>0</v>
      </c>
      <c r="J185" s="8">
        <v>0</v>
      </c>
      <c r="K185" s="8">
        <v>0</v>
      </c>
      <c r="L185" s="8">
        <v>0</v>
      </c>
      <c r="M185" s="8">
        <v>0</v>
      </c>
    </row>
    <row r="186" spans="1:13" ht="30" x14ac:dyDescent="0.2">
      <c r="A186" s="6">
        <v>27</v>
      </c>
      <c r="B186" s="7" t="s">
        <v>109</v>
      </c>
      <c r="C186" s="6" t="s">
        <v>110</v>
      </c>
      <c r="D186" s="8">
        <v>28</v>
      </c>
      <c r="E186" s="8">
        <v>15.2</v>
      </c>
      <c r="F186" s="8">
        <v>15.2</v>
      </c>
      <c r="G186" s="8">
        <v>15</v>
      </c>
      <c r="H186" s="8">
        <v>15</v>
      </c>
      <c r="I186" s="8">
        <v>15</v>
      </c>
      <c r="J186" s="8">
        <v>15</v>
      </c>
      <c r="K186" s="8">
        <v>15</v>
      </c>
      <c r="L186" s="8">
        <v>15</v>
      </c>
      <c r="M186" s="8">
        <v>15</v>
      </c>
    </row>
    <row r="187" spans="1:13" x14ac:dyDescent="0.2">
      <c r="A187" s="6">
        <v>28</v>
      </c>
      <c r="B187" s="7" t="s">
        <v>112</v>
      </c>
      <c r="C187" s="6" t="s">
        <v>113</v>
      </c>
      <c r="D187" s="8">
        <v>125.9</v>
      </c>
      <c r="E187" s="8">
        <v>119.8</v>
      </c>
      <c r="F187" s="8">
        <v>185.3</v>
      </c>
      <c r="G187" s="8">
        <v>43.4</v>
      </c>
      <c r="H187" s="8">
        <v>42</v>
      </c>
      <c r="I187" s="8">
        <v>72</v>
      </c>
      <c r="J187" s="8">
        <v>130.9</v>
      </c>
      <c r="K187" s="8">
        <v>127.4</v>
      </c>
      <c r="L187" s="8">
        <v>122.6</v>
      </c>
      <c r="M187" s="8">
        <v>101.4</v>
      </c>
    </row>
    <row r="188" spans="1:13" x14ac:dyDescent="0.2">
      <c r="A188" s="6">
        <v>29</v>
      </c>
      <c r="B188" s="7" t="s">
        <v>115</v>
      </c>
      <c r="C188" s="6" t="s">
        <v>116</v>
      </c>
      <c r="D188" s="8">
        <v>0</v>
      </c>
      <c r="E188" s="8">
        <v>0</v>
      </c>
      <c r="F188" s="8">
        <v>0</v>
      </c>
      <c r="G188" s="8">
        <v>0</v>
      </c>
      <c r="H188" s="8">
        <v>0</v>
      </c>
      <c r="I188" s="8">
        <v>0</v>
      </c>
      <c r="J188" s="8">
        <v>0</v>
      </c>
      <c r="K188" s="8">
        <v>0</v>
      </c>
      <c r="L188" s="8">
        <v>0</v>
      </c>
      <c r="M188" s="8">
        <v>0.69299999999999995</v>
      </c>
    </row>
    <row r="189" spans="1:13" x14ac:dyDescent="0.2">
      <c r="A189" s="6">
        <v>30</v>
      </c>
      <c r="B189" s="7" t="s">
        <v>118</v>
      </c>
      <c r="C189" s="6" t="s">
        <v>119</v>
      </c>
      <c r="D189" s="8">
        <v>412</v>
      </c>
      <c r="E189" s="8">
        <v>524.9</v>
      </c>
      <c r="F189" s="8">
        <v>403.4</v>
      </c>
      <c r="G189" s="8">
        <v>526.5</v>
      </c>
      <c r="H189" s="8">
        <v>506.6</v>
      </c>
      <c r="I189" s="8">
        <v>534.29999999999995</v>
      </c>
      <c r="J189" s="8">
        <v>507</v>
      </c>
      <c r="K189" s="8">
        <v>472.9</v>
      </c>
      <c r="L189" s="8">
        <v>415.1</v>
      </c>
      <c r="M189" s="8">
        <v>390.5</v>
      </c>
    </row>
    <row r="190" spans="1:13" ht="30" x14ac:dyDescent="0.2">
      <c r="A190" s="6">
        <v>31</v>
      </c>
      <c r="B190" s="7" t="s">
        <v>121</v>
      </c>
      <c r="C190" s="6" t="s">
        <v>122</v>
      </c>
      <c r="D190" s="8">
        <v>109.5</v>
      </c>
      <c r="E190" s="8">
        <v>100.1</v>
      </c>
      <c r="F190" s="8">
        <v>126.1</v>
      </c>
      <c r="G190" s="8">
        <v>77.5</v>
      </c>
      <c r="H190" s="8">
        <v>15.5</v>
      </c>
      <c r="I190" s="8">
        <v>20.8</v>
      </c>
      <c r="J190" s="8">
        <v>20.3</v>
      </c>
      <c r="K190" s="8">
        <v>109.7</v>
      </c>
      <c r="L190" s="8">
        <v>92.8</v>
      </c>
      <c r="M190" s="8">
        <v>44.8</v>
      </c>
    </row>
    <row r="191" spans="1:13" ht="30" x14ac:dyDescent="0.2">
      <c r="A191" s="6">
        <v>32</v>
      </c>
      <c r="B191" s="7" t="s">
        <v>124</v>
      </c>
      <c r="C191" s="6" t="s">
        <v>125</v>
      </c>
      <c r="D191" s="8">
        <v>77.5</v>
      </c>
      <c r="E191" s="8">
        <v>76.5</v>
      </c>
      <c r="F191" s="8">
        <v>74.7</v>
      </c>
      <c r="G191" s="8">
        <v>67.3</v>
      </c>
      <c r="H191" s="8">
        <v>96</v>
      </c>
      <c r="I191" s="8">
        <v>52.2</v>
      </c>
      <c r="J191" s="8">
        <v>44.3</v>
      </c>
      <c r="K191" s="8">
        <v>44.3</v>
      </c>
      <c r="L191" s="8">
        <v>44.3</v>
      </c>
      <c r="M191" s="8">
        <v>62.5</v>
      </c>
    </row>
    <row r="192" spans="1:13" x14ac:dyDescent="0.2">
      <c r="A192" s="6">
        <v>33</v>
      </c>
      <c r="B192" s="7" t="s">
        <v>127</v>
      </c>
      <c r="C192" s="6" t="s">
        <v>128</v>
      </c>
      <c r="D192" s="8">
        <v>131.9</v>
      </c>
      <c r="E192" s="8">
        <v>132.5</v>
      </c>
      <c r="F192" s="8">
        <v>112</v>
      </c>
      <c r="G192" s="8">
        <v>179.8</v>
      </c>
      <c r="H192" s="8">
        <v>178.9</v>
      </c>
      <c r="I192" s="8">
        <v>170.5</v>
      </c>
      <c r="J192" s="8">
        <v>185.7</v>
      </c>
      <c r="K192" s="8"/>
      <c r="L192" s="8">
        <v>144.5</v>
      </c>
      <c r="M192" s="8">
        <v>168.8</v>
      </c>
    </row>
    <row r="193" spans="1:13" x14ac:dyDescent="0.2">
      <c r="A193" s="6">
        <v>34</v>
      </c>
      <c r="B193" s="7" t="s">
        <v>130</v>
      </c>
      <c r="C193" s="6" t="s">
        <v>131</v>
      </c>
      <c r="D193" s="8">
        <v>0</v>
      </c>
      <c r="E193" s="8">
        <v>0</v>
      </c>
      <c r="F193" s="8">
        <v>0</v>
      </c>
      <c r="G193" s="8">
        <v>0</v>
      </c>
      <c r="H193" s="8">
        <v>10</v>
      </c>
      <c r="I193" s="8">
        <v>10</v>
      </c>
      <c r="J193" s="8">
        <v>10</v>
      </c>
      <c r="K193" s="8">
        <v>20</v>
      </c>
      <c r="L193" s="8">
        <v>69.099999999999994</v>
      </c>
      <c r="M193" s="8">
        <v>39.299999999999997</v>
      </c>
    </row>
    <row r="194" spans="1:13" x14ac:dyDescent="0.2">
      <c r="A194" s="6">
        <v>35</v>
      </c>
      <c r="B194" s="7" t="s">
        <v>133</v>
      </c>
      <c r="C194" s="6" t="s">
        <v>134</v>
      </c>
      <c r="D194" s="8">
        <v>3.46</v>
      </c>
      <c r="E194" s="8">
        <v>20.5</v>
      </c>
      <c r="F194" s="8">
        <v>25</v>
      </c>
      <c r="G194" s="8">
        <v>18.899999999999999</v>
      </c>
      <c r="H194" s="8">
        <v>14</v>
      </c>
      <c r="I194" s="8">
        <v>18.3</v>
      </c>
      <c r="J194" s="8">
        <v>17</v>
      </c>
      <c r="K194" s="8">
        <v>6.62</v>
      </c>
      <c r="L194" s="8">
        <v>55.2</v>
      </c>
      <c r="M194" s="8">
        <v>57.4</v>
      </c>
    </row>
    <row r="195" spans="1:13" x14ac:dyDescent="0.2">
      <c r="A195" s="6">
        <v>36</v>
      </c>
      <c r="B195" s="7" t="s">
        <v>136</v>
      </c>
      <c r="C195" s="6" t="s">
        <v>137</v>
      </c>
      <c r="D195" s="8">
        <v>0</v>
      </c>
      <c r="E195" s="8">
        <v>0</v>
      </c>
      <c r="F195" s="8">
        <v>0</v>
      </c>
      <c r="G195" s="8">
        <v>0</v>
      </c>
      <c r="H195" s="8">
        <v>0</v>
      </c>
      <c r="I195" s="8">
        <v>0</v>
      </c>
      <c r="J195" s="8">
        <v>0</v>
      </c>
      <c r="K195" s="8">
        <v>0</v>
      </c>
      <c r="L195" s="8">
        <v>0</v>
      </c>
      <c r="M195" s="8">
        <v>0.91800000000000004</v>
      </c>
    </row>
    <row r="196" spans="1:13" ht="30" x14ac:dyDescent="0.2">
      <c r="A196" s="6">
        <v>37</v>
      </c>
      <c r="B196" s="7" t="s">
        <v>139</v>
      </c>
      <c r="C196" s="6" t="s">
        <v>140</v>
      </c>
      <c r="D196" s="8">
        <v>92.6</v>
      </c>
      <c r="E196" s="8">
        <v>66.3</v>
      </c>
      <c r="F196" s="8">
        <v>48.5</v>
      </c>
      <c r="G196" s="8">
        <v>65.5</v>
      </c>
      <c r="H196" s="8">
        <v>53.5</v>
      </c>
      <c r="I196" s="8">
        <v>38.299999999999997</v>
      </c>
      <c r="J196" s="8">
        <v>36</v>
      </c>
      <c r="K196" s="8">
        <v>11</v>
      </c>
      <c r="L196" s="8">
        <v>0</v>
      </c>
      <c r="M196" s="8">
        <v>4</v>
      </c>
    </row>
    <row r="197" spans="1:13" ht="30" x14ac:dyDescent="0.2">
      <c r="A197" s="6">
        <v>38</v>
      </c>
      <c r="B197" s="7" t="s">
        <v>142</v>
      </c>
      <c r="C197" s="6" t="s">
        <v>143</v>
      </c>
      <c r="D197" s="8">
        <v>4.51</v>
      </c>
      <c r="E197" s="8">
        <v>0.96299999999999997</v>
      </c>
      <c r="F197" s="8">
        <v>1.91</v>
      </c>
      <c r="G197" s="8">
        <v>0</v>
      </c>
      <c r="H197" s="8">
        <v>1.46</v>
      </c>
      <c r="I197" s="8">
        <v>4.84</v>
      </c>
      <c r="J197" s="8">
        <v>6.09</v>
      </c>
      <c r="K197" s="8">
        <v>4.7699999999999996</v>
      </c>
      <c r="L197" s="8">
        <v>3.4</v>
      </c>
      <c r="M197" s="8">
        <v>2.4900000000000002</v>
      </c>
    </row>
    <row r="198" spans="1:13" x14ac:dyDescent="0.2">
      <c r="A198" s="6">
        <v>39</v>
      </c>
      <c r="B198" s="7" t="s">
        <v>145</v>
      </c>
      <c r="C198" s="6" t="s">
        <v>146</v>
      </c>
      <c r="D198" s="8">
        <v>0</v>
      </c>
      <c r="E198" s="8">
        <v>0</v>
      </c>
      <c r="F198" s="8">
        <v>0</v>
      </c>
      <c r="G198" s="8">
        <v>0</v>
      </c>
      <c r="H198" s="8">
        <v>9.77</v>
      </c>
      <c r="I198" s="8">
        <v>9.7899999999999991</v>
      </c>
      <c r="J198" s="8">
        <v>9.82</v>
      </c>
      <c r="K198" s="8">
        <v>10.3</v>
      </c>
      <c r="L198" s="8">
        <v>19.399999999999999</v>
      </c>
      <c r="M198" s="8">
        <v>29.6</v>
      </c>
    </row>
    <row r="199" spans="1:13" x14ac:dyDescent="0.2">
      <c r="A199" s="6">
        <v>40</v>
      </c>
      <c r="B199" s="7" t="s">
        <v>148</v>
      </c>
      <c r="C199" s="6" t="s">
        <v>149</v>
      </c>
      <c r="D199" s="8">
        <v>0</v>
      </c>
      <c r="E199" s="8">
        <v>238.2</v>
      </c>
      <c r="F199" s="8">
        <v>250.9</v>
      </c>
      <c r="G199" s="8">
        <v>264.39999999999998</v>
      </c>
      <c r="H199" s="8">
        <v>611.4</v>
      </c>
      <c r="I199" s="8">
        <v>478.2</v>
      </c>
      <c r="J199" s="8">
        <v>813.5</v>
      </c>
      <c r="K199" s="8">
        <v>525.6</v>
      </c>
      <c r="L199" s="8">
        <v>344.1</v>
      </c>
      <c r="M199" s="8">
        <v>387.7</v>
      </c>
    </row>
    <row r="200" spans="1:13" x14ac:dyDescent="0.2">
      <c r="A200" s="6">
        <v>41</v>
      </c>
      <c r="B200" s="7" t="s">
        <v>151</v>
      </c>
      <c r="C200" s="6" t="s">
        <v>152</v>
      </c>
      <c r="D200" s="8">
        <v>67</v>
      </c>
      <c r="E200" s="8">
        <v>53.5</v>
      </c>
      <c r="F200" s="8">
        <v>67.5</v>
      </c>
      <c r="G200" s="8">
        <v>24</v>
      </c>
      <c r="H200" s="8">
        <v>34.5</v>
      </c>
      <c r="I200" s="8">
        <v>25</v>
      </c>
      <c r="J200" s="8">
        <v>15</v>
      </c>
      <c r="K200" s="8">
        <v>19.5</v>
      </c>
      <c r="L200" s="8">
        <v>33</v>
      </c>
      <c r="M200" s="8">
        <v>48.6</v>
      </c>
    </row>
    <row r="201" spans="1:13" x14ac:dyDescent="0.2">
      <c r="A201" s="6">
        <v>42</v>
      </c>
      <c r="B201" s="7" t="s">
        <v>154</v>
      </c>
      <c r="C201" s="6" t="s">
        <v>155</v>
      </c>
      <c r="D201" s="8">
        <v>44</v>
      </c>
      <c r="E201" s="8">
        <v>91.5</v>
      </c>
      <c r="F201" s="8">
        <v>45.8</v>
      </c>
      <c r="G201" s="8">
        <v>13</v>
      </c>
      <c r="H201" s="8">
        <v>0</v>
      </c>
      <c r="I201" s="8">
        <v>0</v>
      </c>
      <c r="J201" s="8">
        <v>0</v>
      </c>
      <c r="K201" s="8">
        <v>119</v>
      </c>
      <c r="L201" s="8">
        <v>29.3</v>
      </c>
      <c r="M201" s="8">
        <v>31.1</v>
      </c>
    </row>
    <row r="202" spans="1:13" x14ac:dyDescent="0.2">
      <c r="A202" s="6">
        <v>43</v>
      </c>
      <c r="B202" s="7" t="s">
        <v>157</v>
      </c>
      <c r="C202" s="6" t="s">
        <v>158</v>
      </c>
      <c r="D202" s="8">
        <v>0</v>
      </c>
      <c r="E202" s="8">
        <v>557.20000000000005</v>
      </c>
      <c r="F202" s="8">
        <v>665.3</v>
      </c>
      <c r="G202" s="8">
        <v>617.29999999999995</v>
      </c>
      <c r="H202" s="8">
        <v>579.70000000000005</v>
      </c>
      <c r="I202" s="8">
        <v>457.4</v>
      </c>
      <c r="J202" s="8">
        <v>458.2</v>
      </c>
      <c r="K202" s="8">
        <v>460.1</v>
      </c>
      <c r="L202" s="8">
        <v>455.3</v>
      </c>
      <c r="M202" s="8">
        <v>451.5</v>
      </c>
    </row>
    <row r="203" spans="1:13" x14ac:dyDescent="0.2">
      <c r="A203" s="6">
        <v>44</v>
      </c>
      <c r="B203" s="7" t="s">
        <v>160</v>
      </c>
      <c r="C203" s="6" t="s">
        <v>161</v>
      </c>
      <c r="D203" s="8">
        <v>68.900000000000006</v>
      </c>
      <c r="E203" s="8">
        <v>0</v>
      </c>
      <c r="F203" s="8">
        <v>0</v>
      </c>
      <c r="G203" s="8">
        <v>51.5</v>
      </c>
      <c r="H203" s="8">
        <v>59.4</v>
      </c>
      <c r="I203" s="8">
        <v>54.4</v>
      </c>
      <c r="J203" s="8">
        <v>46.9</v>
      </c>
      <c r="K203" s="8">
        <v>5.92</v>
      </c>
      <c r="L203" s="8">
        <v>5.94</v>
      </c>
      <c r="M203" s="8">
        <v>5.95</v>
      </c>
    </row>
    <row r="204" spans="1:13" ht="30" x14ac:dyDescent="0.2">
      <c r="A204" s="6">
        <v>45</v>
      </c>
      <c r="B204" s="7" t="s">
        <v>163</v>
      </c>
      <c r="C204" s="6" t="s">
        <v>164</v>
      </c>
      <c r="D204" s="8">
        <v>665</v>
      </c>
      <c r="E204" s="8">
        <v>1782.7</v>
      </c>
      <c r="F204" s="8">
        <v>1341.1</v>
      </c>
      <c r="G204" s="8">
        <v>1341.6</v>
      </c>
      <c r="H204" s="8">
        <v>1480</v>
      </c>
      <c r="I204" s="8">
        <v>1531.3</v>
      </c>
      <c r="J204" s="8">
        <v>1405.2</v>
      </c>
      <c r="K204" s="8">
        <v>1486.3</v>
      </c>
      <c r="L204" s="8">
        <v>1197.2</v>
      </c>
      <c r="M204" s="8">
        <v>1730.1</v>
      </c>
    </row>
    <row r="205" spans="1:13" x14ac:dyDescent="0.2">
      <c r="A205" s="6">
        <v>46</v>
      </c>
      <c r="B205" s="7" t="s">
        <v>166</v>
      </c>
      <c r="C205" s="6" t="s">
        <v>167</v>
      </c>
      <c r="D205" s="8">
        <v>91</v>
      </c>
      <c r="E205" s="8">
        <v>230</v>
      </c>
      <c r="F205" s="8">
        <v>0</v>
      </c>
      <c r="G205" s="8">
        <v>0</v>
      </c>
      <c r="H205" s="8">
        <v>491</v>
      </c>
      <c r="I205" s="8">
        <v>833</v>
      </c>
      <c r="J205" s="8">
        <v>836</v>
      </c>
      <c r="K205" s="8">
        <v>839</v>
      </c>
      <c r="L205" s="8">
        <v>831</v>
      </c>
      <c r="M205" s="8">
        <v>819</v>
      </c>
    </row>
    <row r="206" spans="1:13" x14ac:dyDescent="0.2">
      <c r="A206" s="6">
        <v>47</v>
      </c>
      <c r="B206" s="7" t="s">
        <v>169</v>
      </c>
      <c r="C206" s="6" t="s">
        <v>170</v>
      </c>
      <c r="D206" s="8">
        <v>0</v>
      </c>
      <c r="E206" s="8">
        <v>0</v>
      </c>
      <c r="F206" s="8">
        <v>0</v>
      </c>
      <c r="G206" s="8">
        <v>0</v>
      </c>
      <c r="H206" s="8">
        <v>0</v>
      </c>
      <c r="I206" s="8">
        <v>0</v>
      </c>
      <c r="J206" s="8">
        <v>0</v>
      </c>
      <c r="K206" s="8">
        <v>0</v>
      </c>
      <c r="L206" s="8">
        <v>0</v>
      </c>
      <c r="M206" s="8">
        <v>103.1</v>
      </c>
    </row>
    <row r="207" spans="1:13" ht="30" x14ac:dyDescent="0.2">
      <c r="A207" s="6">
        <v>48</v>
      </c>
      <c r="B207" s="7" t="s">
        <v>172</v>
      </c>
      <c r="C207" s="6" t="s">
        <v>173</v>
      </c>
      <c r="D207" s="8">
        <v>335.2</v>
      </c>
      <c r="E207" s="8">
        <v>89.8</v>
      </c>
      <c r="F207" s="8">
        <v>0.751</v>
      </c>
      <c r="G207" s="8">
        <v>35.700000000000003</v>
      </c>
      <c r="H207" s="8">
        <v>0</v>
      </c>
      <c r="I207" s="8">
        <v>35</v>
      </c>
      <c r="J207" s="8">
        <v>0</v>
      </c>
      <c r="K207" s="8">
        <v>785</v>
      </c>
      <c r="L207" s="8">
        <v>810</v>
      </c>
      <c r="M207" s="8">
        <v>797.3</v>
      </c>
    </row>
    <row r="208" spans="1:13" x14ac:dyDescent="0.2">
      <c r="A208" s="6">
        <v>49</v>
      </c>
      <c r="B208" s="7" t="s">
        <v>175</v>
      </c>
      <c r="C208" s="6" t="s">
        <v>176</v>
      </c>
      <c r="D208" s="8">
        <v>29.3</v>
      </c>
      <c r="E208" s="8">
        <v>19</v>
      </c>
      <c r="F208" s="8"/>
      <c r="G208" s="8"/>
      <c r="H208" s="8"/>
      <c r="I208" s="8">
        <v>0</v>
      </c>
      <c r="J208" s="8">
        <v>0</v>
      </c>
      <c r="K208" s="8">
        <v>0</v>
      </c>
      <c r="L208" s="8">
        <v>0</v>
      </c>
      <c r="M208" s="8">
        <v>0</v>
      </c>
    </row>
    <row r="209" spans="1:13" x14ac:dyDescent="0.2">
      <c r="A209" s="6">
        <v>50</v>
      </c>
      <c r="B209" s="7" t="s">
        <v>178</v>
      </c>
      <c r="C209" s="6" t="s">
        <v>179</v>
      </c>
      <c r="D209" s="8">
        <v>724.2</v>
      </c>
      <c r="E209" s="8">
        <v>672.9</v>
      </c>
      <c r="F209" s="8">
        <v>540</v>
      </c>
      <c r="G209" s="8">
        <v>230.9</v>
      </c>
      <c r="H209" s="8">
        <v>190.5</v>
      </c>
      <c r="I209" s="8">
        <v>1571.2</v>
      </c>
      <c r="J209" s="8">
        <v>1368.9</v>
      </c>
      <c r="K209" s="8">
        <v>1306.5999999999999</v>
      </c>
      <c r="L209" s="8">
        <v>1309.5999999999999</v>
      </c>
      <c r="M209" s="8">
        <v>1569.9</v>
      </c>
    </row>
    <row r="210" spans="1:13" x14ac:dyDescent="0.2">
      <c r="A210" s="6">
        <v>51</v>
      </c>
      <c r="B210" s="7" t="s">
        <v>181</v>
      </c>
      <c r="C210" s="6" t="s">
        <v>182</v>
      </c>
      <c r="D210" s="8">
        <v>0</v>
      </c>
      <c r="E210" s="8">
        <v>0</v>
      </c>
      <c r="F210" s="8">
        <v>0</v>
      </c>
      <c r="G210" s="8">
        <v>0</v>
      </c>
      <c r="H210" s="8">
        <v>0</v>
      </c>
      <c r="I210" s="8">
        <v>0</v>
      </c>
      <c r="J210" s="8">
        <v>0</v>
      </c>
      <c r="K210" s="8">
        <v>0</v>
      </c>
      <c r="L210" s="8">
        <v>0</v>
      </c>
      <c r="M210" s="8">
        <v>0</v>
      </c>
    </row>
    <row r="211" spans="1:13" x14ac:dyDescent="0.2">
      <c r="A211" s="6">
        <v>52</v>
      </c>
      <c r="B211" s="7" t="s">
        <v>184</v>
      </c>
      <c r="C211" s="6" t="s">
        <v>185</v>
      </c>
      <c r="D211" s="8">
        <v>0</v>
      </c>
      <c r="E211" s="8">
        <v>0</v>
      </c>
      <c r="F211" s="8">
        <v>0</v>
      </c>
      <c r="G211" s="8">
        <v>0</v>
      </c>
      <c r="H211" s="8">
        <v>0</v>
      </c>
      <c r="I211" s="8">
        <v>0</v>
      </c>
      <c r="J211" s="8">
        <v>0</v>
      </c>
      <c r="K211" s="8">
        <v>0</v>
      </c>
      <c r="L211" s="8">
        <v>0</v>
      </c>
      <c r="M211" s="8">
        <v>0</v>
      </c>
    </row>
    <row r="212" spans="1:13" x14ac:dyDescent="0.2">
      <c r="A212" s="6">
        <v>53</v>
      </c>
      <c r="B212" s="7" t="s">
        <v>187</v>
      </c>
      <c r="C212" s="6" t="s">
        <v>188</v>
      </c>
      <c r="D212" s="8">
        <v>65</v>
      </c>
      <c r="E212" s="8">
        <v>65</v>
      </c>
      <c r="F212" s="8">
        <v>42</v>
      </c>
      <c r="G212" s="8">
        <v>25</v>
      </c>
      <c r="H212" s="8">
        <v>45</v>
      </c>
      <c r="I212" s="8">
        <v>60</v>
      </c>
      <c r="J212" s="8">
        <v>50</v>
      </c>
      <c r="K212" s="8">
        <v>47</v>
      </c>
      <c r="L212" s="8">
        <v>127</v>
      </c>
      <c r="M212" s="8">
        <v>131</v>
      </c>
    </row>
    <row r="213" spans="1:13" ht="30" x14ac:dyDescent="0.2">
      <c r="A213" s="6">
        <v>54</v>
      </c>
      <c r="B213" s="7" t="s">
        <v>190</v>
      </c>
      <c r="C213" s="6" t="s">
        <v>191</v>
      </c>
      <c r="D213" s="8">
        <v>36.200000000000003</v>
      </c>
      <c r="E213" s="8">
        <v>32.9</v>
      </c>
      <c r="F213" s="8">
        <v>111.5</v>
      </c>
      <c r="G213" s="8">
        <v>104</v>
      </c>
      <c r="H213" s="8">
        <v>72.400000000000006</v>
      </c>
      <c r="I213" s="8">
        <v>100.8</v>
      </c>
      <c r="J213" s="8">
        <v>151.6</v>
      </c>
      <c r="K213" s="8">
        <v>88.8</v>
      </c>
      <c r="L213" s="8">
        <v>80.400000000000006</v>
      </c>
      <c r="M213" s="8">
        <v>87.1</v>
      </c>
    </row>
    <row r="214" spans="1:13" x14ac:dyDescent="0.2">
      <c r="A214" s="6">
        <v>55</v>
      </c>
      <c r="B214" s="7" t="s">
        <v>193</v>
      </c>
      <c r="C214" s="6" t="s">
        <v>194</v>
      </c>
      <c r="D214" s="8">
        <v>13.6</v>
      </c>
      <c r="E214" s="8">
        <v>31.7</v>
      </c>
      <c r="F214" s="8">
        <v>39.1</v>
      </c>
      <c r="G214" s="8">
        <v>63.5</v>
      </c>
      <c r="H214" s="8">
        <v>64.599999999999994</v>
      </c>
      <c r="I214" s="8">
        <v>48.7</v>
      </c>
      <c r="J214" s="8">
        <v>98.6</v>
      </c>
      <c r="K214" s="8">
        <v>152.1</v>
      </c>
      <c r="L214" s="8">
        <v>137.80000000000001</v>
      </c>
      <c r="M214" s="8">
        <v>137.80000000000001</v>
      </c>
    </row>
    <row r="215" spans="1:13" x14ac:dyDescent="0.2">
      <c r="A215" s="6">
        <v>56</v>
      </c>
      <c r="B215" s="7" t="s">
        <v>196</v>
      </c>
      <c r="C215" s="6" t="s">
        <v>197</v>
      </c>
      <c r="D215" s="8">
        <v>0</v>
      </c>
      <c r="E215" s="8">
        <v>0</v>
      </c>
      <c r="F215" s="8">
        <v>0</v>
      </c>
      <c r="G215" s="8">
        <v>0</v>
      </c>
      <c r="H215" s="8">
        <v>0</v>
      </c>
      <c r="I215" s="8">
        <v>0</v>
      </c>
      <c r="J215" s="8">
        <v>0</v>
      </c>
      <c r="K215" s="8">
        <v>0</v>
      </c>
      <c r="L215" s="8">
        <v>0</v>
      </c>
      <c r="M215" s="8">
        <v>0</v>
      </c>
    </row>
    <row r="216" spans="1:13" x14ac:dyDescent="0.2">
      <c r="A216" s="6">
        <v>57</v>
      </c>
      <c r="B216" s="7" t="s">
        <v>199</v>
      </c>
      <c r="C216" s="6" t="s">
        <v>200</v>
      </c>
      <c r="D216" s="8">
        <v>0.12</v>
      </c>
      <c r="E216" s="8">
        <v>7.9000000000000001E-2</v>
      </c>
      <c r="F216" s="8">
        <v>0.153</v>
      </c>
      <c r="G216" s="8">
        <v>0.129</v>
      </c>
      <c r="H216" s="8">
        <v>9.7000000000000003E-2</v>
      </c>
      <c r="I216" s="8">
        <v>2.1000000000000001E-2</v>
      </c>
      <c r="J216" s="8">
        <v>184.6</v>
      </c>
      <c r="K216" s="8">
        <v>151.19999999999999</v>
      </c>
      <c r="L216" s="8">
        <v>535.20000000000005</v>
      </c>
      <c r="M216" s="8">
        <v>566.70000000000005</v>
      </c>
    </row>
    <row r="217" spans="1:13" x14ac:dyDescent="0.2">
      <c r="A217" s="6">
        <v>58</v>
      </c>
      <c r="B217" s="7" t="s">
        <v>202</v>
      </c>
      <c r="C217" s="6" t="s">
        <v>203</v>
      </c>
      <c r="D217" s="8">
        <v>104.4</v>
      </c>
      <c r="E217" s="8">
        <v>104.4</v>
      </c>
      <c r="F217" s="8">
        <v>144.4</v>
      </c>
      <c r="G217" s="8">
        <v>269.39999999999998</v>
      </c>
      <c r="H217" s="8">
        <v>369.4</v>
      </c>
      <c r="I217" s="8">
        <v>369.4</v>
      </c>
      <c r="J217" s="8">
        <v>369.4</v>
      </c>
      <c r="K217" s="8">
        <v>369</v>
      </c>
      <c r="L217" s="8">
        <v>369</v>
      </c>
      <c r="M217" s="8">
        <v>369</v>
      </c>
    </row>
    <row r="218" spans="1:13" x14ac:dyDescent="0.2">
      <c r="A218" s="6">
        <v>59</v>
      </c>
      <c r="B218" s="7" t="s">
        <v>205</v>
      </c>
      <c r="C218" s="6" t="s">
        <v>206</v>
      </c>
      <c r="D218" s="8">
        <v>179.1</v>
      </c>
      <c r="E218" s="8">
        <v>193.8</v>
      </c>
      <c r="F218" s="8">
        <v>189.4</v>
      </c>
      <c r="G218" s="8">
        <v>196.4</v>
      </c>
      <c r="H218" s="8">
        <v>306.5</v>
      </c>
      <c r="I218" s="8">
        <v>309.39999999999998</v>
      </c>
      <c r="J218" s="8">
        <v>293.39999999999998</v>
      </c>
      <c r="K218" s="8">
        <v>239.6</v>
      </c>
      <c r="L218" s="8">
        <v>232.2</v>
      </c>
      <c r="M218" s="8">
        <v>299.60000000000002</v>
      </c>
    </row>
    <row r="219" spans="1:13" x14ac:dyDescent="0.2">
      <c r="A219" s="6">
        <v>60</v>
      </c>
      <c r="B219" s="7" t="s">
        <v>208</v>
      </c>
      <c r="C219" s="6" t="s">
        <v>209</v>
      </c>
      <c r="D219" s="8">
        <v>20</v>
      </c>
      <c r="E219" s="8">
        <v>34.200000000000003</v>
      </c>
      <c r="F219" s="8">
        <v>39.5</v>
      </c>
      <c r="G219" s="8">
        <v>38.5</v>
      </c>
      <c r="H219" s="8">
        <v>41.5</v>
      </c>
      <c r="I219" s="8">
        <v>32.299999999999997</v>
      </c>
      <c r="J219" s="8">
        <v>40.200000000000003</v>
      </c>
      <c r="K219" s="8">
        <v>42.6</v>
      </c>
      <c r="L219" s="8">
        <v>29.7</v>
      </c>
      <c r="M219" s="8">
        <v>0.28399999999999997</v>
      </c>
    </row>
    <row r="220" spans="1:13" x14ac:dyDescent="0.2">
      <c r="A220" s="6">
        <v>61</v>
      </c>
      <c r="B220" s="7" t="s">
        <v>211</v>
      </c>
      <c r="C220" s="6" t="s">
        <v>212</v>
      </c>
      <c r="D220" s="8">
        <v>0</v>
      </c>
      <c r="E220" s="8">
        <v>0</v>
      </c>
      <c r="F220" s="8">
        <v>9.4600000000000009</v>
      </c>
      <c r="G220" s="8">
        <v>4.49</v>
      </c>
      <c r="H220" s="8">
        <v>2.58</v>
      </c>
      <c r="I220" s="8">
        <v>0</v>
      </c>
      <c r="J220" s="8">
        <v>0</v>
      </c>
      <c r="K220" s="8">
        <v>12.7</v>
      </c>
      <c r="L220" s="8">
        <v>8.11</v>
      </c>
      <c r="M220" s="8">
        <v>16.5</v>
      </c>
    </row>
    <row r="221" spans="1:13" ht="30" x14ac:dyDescent="0.2">
      <c r="A221" s="6">
        <v>62</v>
      </c>
      <c r="B221" s="7" t="s">
        <v>214</v>
      </c>
      <c r="C221" s="6" t="s">
        <v>215</v>
      </c>
      <c r="D221" s="8">
        <v>0</v>
      </c>
      <c r="E221" s="8">
        <v>0</v>
      </c>
      <c r="F221" s="8">
        <v>0</v>
      </c>
      <c r="G221" s="8">
        <v>0</v>
      </c>
      <c r="H221" s="8">
        <v>0</v>
      </c>
      <c r="I221" s="8">
        <v>4</v>
      </c>
      <c r="J221" s="8">
        <v>21.3</v>
      </c>
      <c r="K221" s="8">
        <v>0</v>
      </c>
      <c r="L221" s="8">
        <v>39.5</v>
      </c>
      <c r="M221" s="8">
        <v>37.5</v>
      </c>
    </row>
    <row r="222" spans="1:13" x14ac:dyDescent="0.2">
      <c r="A222" s="6">
        <v>63</v>
      </c>
      <c r="B222" s="7" t="s">
        <v>217</v>
      </c>
      <c r="C222" s="6" t="s">
        <v>218</v>
      </c>
      <c r="D222" s="8">
        <v>30</v>
      </c>
      <c r="E222" s="8">
        <v>30</v>
      </c>
      <c r="F222" s="8">
        <v>30</v>
      </c>
      <c r="G222" s="8">
        <v>30</v>
      </c>
      <c r="H222" s="8">
        <v>30</v>
      </c>
      <c r="I222" s="8">
        <v>38</v>
      </c>
      <c r="J222" s="8">
        <v>46</v>
      </c>
      <c r="K222" s="8">
        <v>42.3</v>
      </c>
      <c r="L222" s="8">
        <v>45.9</v>
      </c>
      <c r="M222" s="8">
        <v>74.7</v>
      </c>
    </row>
    <row r="223" spans="1:13" ht="30" x14ac:dyDescent="0.2">
      <c r="A223" s="6">
        <v>64</v>
      </c>
      <c r="B223" s="7" t="s">
        <v>220</v>
      </c>
      <c r="C223" s="6" t="s">
        <v>221</v>
      </c>
      <c r="D223" s="8">
        <v>4.5199999999999996</v>
      </c>
      <c r="E223" s="8">
        <v>4.6900000000000004</v>
      </c>
      <c r="F223" s="8">
        <v>4.0599999999999996</v>
      </c>
      <c r="G223" s="8">
        <v>0</v>
      </c>
      <c r="H223" s="8">
        <v>2.67</v>
      </c>
      <c r="I223" s="8">
        <v>1.04</v>
      </c>
      <c r="J223" s="8">
        <v>1.78</v>
      </c>
      <c r="K223" s="8">
        <v>6.66</v>
      </c>
      <c r="L223" s="8">
        <v>6.41</v>
      </c>
      <c r="M223" s="8">
        <v>9.94</v>
      </c>
    </row>
    <row r="224" spans="1:13" x14ac:dyDescent="0.2">
      <c r="A224" s="6">
        <v>65</v>
      </c>
      <c r="B224" s="7" t="s">
        <v>223</v>
      </c>
      <c r="C224" s="6" t="s">
        <v>224</v>
      </c>
      <c r="D224" s="8">
        <v>0</v>
      </c>
      <c r="E224" s="8">
        <v>0</v>
      </c>
      <c r="F224" s="8">
        <v>0</v>
      </c>
      <c r="G224" s="8">
        <v>0</v>
      </c>
      <c r="H224" s="8">
        <v>0</v>
      </c>
      <c r="I224" s="8">
        <v>0</v>
      </c>
      <c r="J224" s="8">
        <v>0</v>
      </c>
      <c r="K224" s="8">
        <v>0</v>
      </c>
      <c r="L224" s="8">
        <v>0</v>
      </c>
      <c r="M224" s="8">
        <v>0</v>
      </c>
    </row>
    <row r="225" spans="1:13" ht="30" x14ac:dyDescent="0.2">
      <c r="A225" s="6">
        <v>66</v>
      </c>
      <c r="B225" s="7" t="s">
        <v>226</v>
      </c>
      <c r="C225" s="6" t="s">
        <v>227</v>
      </c>
      <c r="D225" s="8">
        <v>422.1</v>
      </c>
      <c r="E225" s="8">
        <v>406.8</v>
      </c>
      <c r="F225" s="8">
        <v>400</v>
      </c>
      <c r="G225" s="8">
        <v>410.5</v>
      </c>
      <c r="H225" s="8">
        <v>933.9</v>
      </c>
      <c r="I225" s="8">
        <v>327.3</v>
      </c>
      <c r="J225" s="8">
        <v>423.2</v>
      </c>
      <c r="K225" s="8">
        <v>414.9</v>
      </c>
      <c r="L225" s="8">
        <v>476.6</v>
      </c>
      <c r="M225" s="8">
        <v>335.5</v>
      </c>
    </row>
    <row r="226" spans="1:13" x14ac:dyDescent="0.2">
      <c r="A226" s="6">
        <v>67</v>
      </c>
      <c r="B226" s="7" t="s">
        <v>229</v>
      </c>
      <c r="C226" s="6" t="s">
        <v>230</v>
      </c>
      <c r="D226" s="8">
        <v>1.1499999999999999</v>
      </c>
      <c r="E226" s="8">
        <v>1.1000000000000001</v>
      </c>
      <c r="F226" s="8">
        <v>0</v>
      </c>
      <c r="G226" s="8">
        <v>0</v>
      </c>
      <c r="H226" s="8">
        <v>0</v>
      </c>
      <c r="I226" s="8">
        <v>0</v>
      </c>
      <c r="J226" s="8">
        <v>0</v>
      </c>
      <c r="K226" s="8">
        <v>0</v>
      </c>
      <c r="L226" s="8">
        <v>0</v>
      </c>
      <c r="M226" s="8">
        <v>0</v>
      </c>
    </row>
    <row r="227" spans="1:13" ht="30" x14ac:dyDescent="0.2">
      <c r="A227" s="6">
        <v>68</v>
      </c>
      <c r="B227" s="7" t="s">
        <v>232</v>
      </c>
      <c r="C227" s="6" t="s">
        <v>233</v>
      </c>
      <c r="D227" s="8">
        <v>900.3</v>
      </c>
      <c r="E227" s="8">
        <v>1085.4000000000001</v>
      </c>
      <c r="F227" s="8">
        <v>1337.3</v>
      </c>
      <c r="G227" s="8">
        <v>1251</v>
      </c>
      <c r="H227" s="8">
        <v>1693.8</v>
      </c>
      <c r="I227" s="8">
        <v>1790.3</v>
      </c>
      <c r="J227" s="8">
        <v>1847.3</v>
      </c>
      <c r="K227" s="8">
        <v>1802.9</v>
      </c>
      <c r="L227" s="8">
        <v>2264.6</v>
      </c>
      <c r="M227" s="8">
        <v>2590.6</v>
      </c>
    </row>
    <row r="228" spans="1:13" x14ac:dyDescent="0.2">
      <c r="A228" s="6">
        <v>69</v>
      </c>
      <c r="B228" s="7" t="s">
        <v>235</v>
      </c>
      <c r="C228" s="6" t="s">
        <v>236</v>
      </c>
      <c r="D228" s="8">
        <v>0</v>
      </c>
      <c r="E228" s="8">
        <v>0</v>
      </c>
      <c r="F228" s="8">
        <v>0</v>
      </c>
      <c r="G228" s="8">
        <v>121.3</v>
      </c>
      <c r="H228" s="8">
        <v>96.4</v>
      </c>
      <c r="I228" s="8">
        <v>75.3</v>
      </c>
      <c r="J228" s="8">
        <v>50</v>
      </c>
      <c r="K228" s="8">
        <v>35</v>
      </c>
      <c r="L228" s="8">
        <v>35</v>
      </c>
      <c r="M228" s="8">
        <v>0</v>
      </c>
    </row>
    <row r="229" spans="1:13" x14ac:dyDescent="0.2">
      <c r="A229" s="6">
        <v>70</v>
      </c>
      <c r="B229" s="7" t="s">
        <v>238</v>
      </c>
      <c r="C229" s="6" t="s">
        <v>239</v>
      </c>
      <c r="D229" s="8">
        <v>386.6</v>
      </c>
      <c r="E229" s="8">
        <v>687.6</v>
      </c>
      <c r="F229" s="8">
        <v>685.8</v>
      </c>
      <c r="G229" s="8">
        <v>1904.4</v>
      </c>
      <c r="H229" s="8">
        <v>2923.4</v>
      </c>
      <c r="I229" s="8">
        <v>3129.4</v>
      </c>
      <c r="J229" s="8">
        <v>2853.8</v>
      </c>
      <c r="K229" s="8">
        <v>2896.8</v>
      </c>
      <c r="L229" s="8">
        <v>2560.6</v>
      </c>
      <c r="M229" s="8">
        <v>2585.5</v>
      </c>
    </row>
    <row r="230" spans="1:13" x14ac:dyDescent="0.2">
      <c r="A230" s="6">
        <v>71</v>
      </c>
      <c r="B230" s="7" t="s">
        <v>241</v>
      </c>
      <c r="C230" s="6" t="s">
        <v>242</v>
      </c>
      <c r="D230" s="8">
        <v>46.3</v>
      </c>
      <c r="E230" s="8">
        <v>51.2</v>
      </c>
      <c r="F230" s="8">
        <v>53.1</v>
      </c>
      <c r="G230" s="8">
        <v>61.5</v>
      </c>
      <c r="H230" s="8">
        <v>74.400000000000006</v>
      </c>
      <c r="I230" s="8">
        <v>63.9</v>
      </c>
      <c r="J230" s="8">
        <v>97.4</v>
      </c>
      <c r="K230" s="8">
        <v>140.80000000000001</v>
      </c>
      <c r="L230" s="8">
        <v>107.6</v>
      </c>
      <c r="M230" s="8">
        <v>209.3</v>
      </c>
    </row>
    <row r="231" spans="1:13" x14ac:dyDescent="0.2">
      <c r="A231" s="6">
        <v>72</v>
      </c>
      <c r="B231" s="7" t="s">
        <v>244</v>
      </c>
      <c r="C231" s="6" t="s">
        <v>245</v>
      </c>
      <c r="D231" s="8">
        <v>489.5</v>
      </c>
      <c r="E231" s="8">
        <v>566.5</v>
      </c>
      <c r="F231" s="8">
        <v>651.29999999999995</v>
      </c>
      <c r="G231" s="8">
        <v>798.6</v>
      </c>
      <c r="H231" s="8">
        <v>762.2</v>
      </c>
      <c r="I231" s="8">
        <v>1096.9000000000001</v>
      </c>
      <c r="J231" s="8">
        <v>1345.8</v>
      </c>
      <c r="K231" s="8">
        <v>1395.2</v>
      </c>
      <c r="L231" s="8">
        <v>1472</v>
      </c>
      <c r="M231" s="8">
        <v>1418.9</v>
      </c>
    </row>
    <row r="232" spans="1:13" x14ac:dyDescent="0.2">
      <c r="A232" s="6">
        <v>73</v>
      </c>
      <c r="B232" s="7" t="s">
        <v>247</v>
      </c>
      <c r="C232" s="6" t="s">
        <v>248</v>
      </c>
      <c r="D232" s="8">
        <v>79.7</v>
      </c>
      <c r="E232" s="8">
        <v>58.7</v>
      </c>
      <c r="F232" s="8">
        <v>0</v>
      </c>
      <c r="G232" s="8">
        <v>35</v>
      </c>
      <c r="H232" s="8">
        <v>0</v>
      </c>
      <c r="I232" s="8">
        <v>0</v>
      </c>
      <c r="J232" s="8">
        <v>35</v>
      </c>
      <c r="K232" s="8">
        <v>0</v>
      </c>
      <c r="L232" s="8">
        <v>48.5</v>
      </c>
      <c r="M232" s="8">
        <v>63.5</v>
      </c>
    </row>
    <row r="233" spans="1:13" x14ac:dyDescent="0.2">
      <c r="A233" s="6">
        <v>74</v>
      </c>
      <c r="B233" s="7" t="s">
        <v>250</v>
      </c>
      <c r="C233" s="6" t="s">
        <v>251</v>
      </c>
      <c r="D233" s="8">
        <v>72.3</v>
      </c>
      <c r="E233" s="8">
        <v>72.5</v>
      </c>
      <c r="F233" s="8">
        <v>70.8</v>
      </c>
      <c r="G233" s="8">
        <v>0</v>
      </c>
      <c r="H233" s="8">
        <v>79.400000000000006</v>
      </c>
      <c r="I233" s="8">
        <v>79.7</v>
      </c>
      <c r="J233" s="8">
        <v>79.8</v>
      </c>
      <c r="K233" s="8">
        <v>79.900000000000006</v>
      </c>
      <c r="L233" s="8">
        <v>47.9</v>
      </c>
      <c r="M233" s="8">
        <v>80.2</v>
      </c>
    </row>
    <row r="234" spans="1:13" x14ac:dyDescent="0.2">
      <c r="A234" s="6">
        <v>75</v>
      </c>
      <c r="B234" s="7" t="s">
        <v>253</v>
      </c>
      <c r="C234" s="6" t="s">
        <v>254</v>
      </c>
      <c r="D234" s="8">
        <v>0</v>
      </c>
      <c r="E234" s="8">
        <v>0</v>
      </c>
      <c r="F234" s="8">
        <v>0</v>
      </c>
      <c r="G234" s="8">
        <v>160</v>
      </c>
      <c r="H234" s="8">
        <v>190</v>
      </c>
      <c r="I234" s="8">
        <v>272.3</v>
      </c>
      <c r="J234" s="8">
        <v>225.5</v>
      </c>
      <c r="K234" s="8">
        <v>281</v>
      </c>
      <c r="L234" s="8">
        <v>420.3</v>
      </c>
      <c r="M234" s="8">
        <v>484.3</v>
      </c>
    </row>
    <row r="235" spans="1:13" x14ac:dyDescent="0.2">
      <c r="A235" s="6">
        <v>76</v>
      </c>
      <c r="B235" s="7" t="s">
        <v>256</v>
      </c>
      <c r="C235" s="6" t="s">
        <v>257</v>
      </c>
      <c r="D235" s="8">
        <v>20.399999999999999</v>
      </c>
      <c r="E235" s="8">
        <v>65.400000000000006</v>
      </c>
      <c r="F235" s="8">
        <v>215.9</v>
      </c>
      <c r="G235" s="8">
        <v>245.7</v>
      </c>
      <c r="H235" s="8">
        <v>212.5</v>
      </c>
      <c r="I235" s="8">
        <v>163</v>
      </c>
      <c r="J235" s="8">
        <v>162</v>
      </c>
      <c r="K235" s="8">
        <v>169.8</v>
      </c>
      <c r="L235" s="8">
        <v>62</v>
      </c>
      <c r="M235" s="8">
        <v>285</v>
      </c>
    </row>
    <row r="236" spans="1:13" x14ac:dyDescent="0.2">
      <c r="A236" s="6">
        <v>77</v>
      </c>
      <c r="B236" s="7" t="s">
        <v>259</v>
      </c>
      <c r="C236" s="6" t="s">
        <v>260</v>
      </c>
      <c r="D236" s="8">
        <v>35</v>
      </c>
      <c r="E236" s="8">
        <v>25</v>
      </c>
      <c r="F236" s="8">
        <v>0</v>
      </c>
      <c r="G236" s="8">
        <v>50.3</v>
      </c>
      <c r="H236" s="8">
        <v>51.9</v>
      </c>
      <c r="I236" s="8">
        <v>21.2</v>
      </c>
      <c r="J236" s="8">
        <v>0</v>
      </c>
      <c r="K236" s="8">
        <v>0</v>
      </c>
      <c r="L236" s="8">
        <v>0</v>
      </c>
      <c r="M236" s="8">
        <v>0</v>
      </c>
    </row>
    <row r="237" spans="1:13" x14ac:dyDescent="0.2">
      <c r="A237" s="6">
        <v>78</v>
      </c>
      <c r="B237" s="7" t="s">
        <v>262</v>
      </c>
      <c r="C237" s="6" t="s">
        <v>263</v>
      </c>
      <c r="D237" s="8">
        <v>620.29999999999995</v>
      </c>
      <c r="E237" s="8">
        <v>907.4</v>
      </c>
      <c r="F237" s="8">
        <v>1191.5999999999999</v>
      </c>
      <c r="G237" s="8">
        <v>1194.4000000000001</v>
      </c>
      <c r="H237" s="8">
        <v>1143.5999999999999</v>
      </c>
      <c r="I237" s="8">
        <v>1398.6</v>
      </c>
      <c r="J237" s="8">
        <v>1505.3</v>
      </c>
      <c r="K237" s="8">
        <v>1519.8</v>
      </c>
      <c r="L237" s="8">
        <v>1493.3</v>
      </c>
      <c r="M237" s="8">
        <v>1413.6</v>
      </c>
    </row>
    <row r="238" spans="1:13" ht="30" x14ac:dyDescent="0.2">
      <c r="A238" s="6">
        <v>79</v>
      </c>
      <c r="B238" s="7" t="s">
        <v>265</v>
      </c>
      <c r="C238" s="6" t="s">
        <v>266</v>
      </c>
      <c r="D238" s="8">
        <v>6.75</v>
      </c>
      <c r="E238" s="8">
        <v>3.75</v>
      </c>
      <c r="F238" s="8">
        <v>55.2</v>
      </c>
      <c r="G238" s="8">
        <v>0</v>
      </c>
      <c r="H238" s="8">
        <v>25.2</v>
      </c>
      <c r="I238" s="8">
        <v>21.3</v>
      </c>
      <c r="J238" s="8">
        <v>23</v>
      </c>
      <c r="K238" s="8">
        <v>21.5</v>
      </c>
      <c r="L238" s="8">
        <v>19.7</v>
      </c>
      <c r="M238" s="8">
        <v>17.600000000000001</v>
      </c>
    </row>
    <row r="239" spans="1:13" x14ac:dyDescent="0.2">
      <c r="A239" s="6">
        <v>80</v>
      </c>
      <c r="B239" s="7" t="s">
        <v>268</v>
      </c>
      <c r="C239" s="6" t="s">
        <v>269</v>
      </c>
      <c r="D239" s="8">
        <v>24.5</v>
      </c>
      <c r="E239" s="8">
        <v>4.32</v>
      </c>
      <c r="F239" s="8">
        <v>4.2300000000000004</v>
      </c>
      <c r="G239" s="8">
        <v>23.5</v>
      </c>
      <c r="H239" s="8">
        <v>23.6</v>
      </c>
      <c r="I239" s="8">
        <v>23.7</v>
      </c>
      <c r="J239" s="8">
        <v>23.7</v>
      </c>
      <c r="K239" s="8">
        <v>98.8</v>
      </c>
      <c r="L239" s="8">
        <v>98.8</v>
      </c>
      <c r="M239" s="8"/>
    </row>
    <row r="240" spans="1:13" x14ac:dyDescent="0.2">
      <c r="A240" s="6">
        <v>81</v>
      </c>
      <c r="B240" s="7" t="s">
        <v>271</v>
      </c>
      <c r="C240" s="6" t="s">
        <v>272</v>
      </c>
      <c r="D240" s="8">
        <v>17</v>
      </c>
      <c r="E240" s="8">
        <v>14</v>
      </c>
      <c r="F240" s="8">
        <v>19</v>
      </c>
      <c r="G240" s="8">
        <v>12.5</v>
      </c>
      <c r="H240" s="8">
        <v>0</v>
      </c>
      <c r="I240" s="8">
        <v>0</v>
      </c>
      <c r="J240" s="8">
        <v>0</v>
      </c>
      <c r="K240" s="8">
        <v>17</v>
      </c>
      <c r="L240" s="8">
        <v>0</v>
      </c>
      <c r="M240" s="8">
        <v>0</v>
      </c>
    </row>
    <row r="241" spans="1:13" x14ac:dyDescent="0.2">
      <c r="A241" s="6">
        <v>82</v>
      </c>
      <c r="B241" s="7" t="s">
        <v>274</v>
      </c>
      <c r="C241" s="6" t="s">
        <v>275</v>
      </c>
      <c r="D241" s="8">
        <v>17.3</v>
      </c>
      <c r="E241" s="8">
        <v>12.3</v>
      </c>
      <c r="F241" s="8">
        <v>11.8</v>
      </c>
      <c r="G241" s="8">
        <v>22.7</v>
      </c>
      <c r="H241" s="8">
        <v>31.2</v>
      </c>
      <c r="I241" s="8">
        <v>18.100000000000001</v>
      </c>
      <c r="J241" s="8">
        <v>8.26</v>
      </c>
      <c r="K241" s="8">
        <v>8.7799999999999994</v>
      </c>
      <c r="L241" s="8">
        <v>13.7</v>
      </c>
      <c r="M241" s="8">
        <v>4</v>
      </c>
    </row>
    <row r="242" spans="1:13" x14ac:dyDescent="0.2">
      <c r="A242" s="6">
        <v>83</v>
      </c>
      <c r="B242" s="7" t="s">
        <v>277</v>
      </c>
      <c r="C242" s="6" t="s">
        <v>278</v>
      </c>
      <c r="D242" s="8">
        <v>26.8</v>
      </c>
      <c r="E242" s="8">
        <v>12.5</v>
      </c>
      <c r="F242" s="8">
        <v>2.9</v>
      </c>
      <c r="G242" s="8">
        <v>0</v>
      </c>
      <c r="H242" s="8">
        <v>0</v>
      </c>
      <c r="I242" s="8">
        <v>0</v>
      </c>
      <c r="J242" s="8">
        <v>0</v>
      </c>
      <c r="K242" s="8">
        <v>0</v>
      </c>
      <c r="L242" s="8">
        <v>0</v>
      </c>
      <c r="M242" s="8">
        <v>0</v>
      </c>
    </row>
    <row r="243" spans="1:13" ht="30" x14ac:dyDescent="0.2">
      <c r="A243" s="6">
        <v>84</v>
      </c>
      <c r="B243" s="7" t="s">
        <v>280</v>
      </c>
      <c r="C243" s="6" t="s">
        <v>281</v>
      </c>
      <c r="D243" s="8">
        <v>226.8</v>
      </c>
      <c r="E243" s="8">
        <v>207.1</v>
      </c>
      <c r="F243" s="8">
        <v>348.5</v>
      </c>
      <c r="G243" s="8">
        <v>398.1</v>
      </c>
      <c r="H243" s="8">
        <v>400.4</v>
      </c>
      <c r="I243" s="8">
        <v>366.2</v>
      </c>
      <c r="J243" s="8">
        <v>313.2</v>
      </c>
      <c r="K243" s="8">
        <v>311.2</v>
      </c>
      <c r="L243" s="8">
        <v>670.3</v>
      </c>
      <c r="M243" s="8">
        <v>797.6</v>
      </c>
    </row>
    <row r="244" spans="1:13" x14ac:dyDescent="0.2">
      <c r="A244" s="6">
        <v>85</v>
      </c>
      <c r="B244" s="7" t="s">
        <v>283</v>
      </c>
      <c r="C244" s="6" t="s">
        <v>284</v>
      </c>
      <c r="D244" s="8">
        <v>2.72</v>
      </c>
      <c r="E244" s="8">
        <v>7.46</v>
      </c>
      <c r="F244" s="8">
        <v>0.56000000000000005</v>
      </c>
      <c r="G244" s="8">
        <v>0.36599999999999999</v>
      </c>
      <c r="H244" s="8">
        <v>6.24</v>
      </c>
      <c r="I244" s="8">
        <v>14.8</v>
      </c>
      <c r="J244" s="8">
        <v>16</v>
      </c>
      <c r="K244" s="8">
        <v>22.1</v>
      </c>
      <c r="L244" s="8">
        <v>19.5</v>
      </c>
      <c r="M244" s="8">
        <v>16.899999999999999</v>
      </c>
    </row>
    <row r="245" spans="1:13" x14ac:dyDescent="0.2">
      <c r="A245" s="6">
        <v>86</v>
      </c>
      <c r="B245" s="7" t="s">
        <v>286</v>
      </c>
      <c r="C245" s="6" t="s">
        <v>287</v>
      </c>
      <c r="D245" s="8">
        <v>36.4</v>
      </c>
      <c r="E245" s="8">
        <v>11.5</v>
      </c>
      <c r="F245" s="8">
        <v>9.5</v>
      </c>
      <c r="G245" s="8">
        <v>0</v>
      </c>
      <c r="H245" s="8">
        <v>0</v>
      </c>
      <c r="I245" s="8">
        <v>0</v>
      </c>
      <c r="J245" s="8">
        <v>0</v>
      </c>
      <c r="K245" s="8">
        <v>0</v>
      </c>
      <c r="L245" s="8">
        <v>40</v>
      </c>
      <c r="M245" s="8">
        <v>5</v>
      </c>
    </row>
    <row r="246" spans="1:13" ht="30" x14ac:dyDescent="0.2">
      <c r="A246" s="6">
        <v>87</v>
      </c>
      <c r="B246" s="7" t="s">
        <v>289</v>
      </c>
      <c r="C246" s="6" t="s">
        <v>290</v>
      </c>
      <c r="D246" s="8">
        <v>0</v>
      </c>
      <c r="E246" s="8">
        <v>4.2000000000000003E-2</v>
      </c>
      <c r="F246" s="8">
        <v>3.2000000000000001E-2</v>
      </c>
      <c r="G246" s="8">
        <v>0</v>
      </c>
      <c r="H246" s="8">
        <v>0.57199999999999995</v>
      </c>
      <c r="I246" s="8">
        <v>0</v>
      </c>
      <c r="J246" s="8">
        <v>0</v>
      </c>
      <c r="K246" s="8">
        <v>0</v>
      </c>
      <c r="L246" s="8">
        <v>0</v>
      </c>
      <c r="M246" s="8">
        <v>0</v>
      </c>
    </row>
    <row r="247" spans="1:13" x14ac:dyDescent="0.2">
      <c r="A247" s="6">
        <v>88</v>
      </c>
      <c r="B247" s="7" t="s">
        <v>292</v>
      </c>
      <c r="C247" s="6" t="s">
        <v>293</v>
      </c>
      <c r="D247" s="8">
        <v>125.4</v>
      </c>
      <c r="E247" s="8">
        <v>105.4</v>
      </c>
      <c r="F247" s="8">
        <v>99.1</v>
      </c>
      <c r="G247" s="8">
        <v>99.2</v>
      </c>
      <c r="H247" s="8">
        <v>99.3</v>
      </c>
      <c r="I247" s="8">
        <v>147.80000000000001</v>
      </c>
      <c r="J247" s="8">
        <v>148</v>
      </c>
      <c r="K247" s="8">
        <v>148.19999999999999</v>
      </c>
      <c r="L247" s="8">
        <v>148.5</v>
      </c>
      <c r="M247" s="8">
        <v>348.7</v>
      </c>
    </row>
    <row r="248" spans="1:13" x14ac:dyDescent="0.2">
      <c r="A248" s="6">
        <v>89</v>
      </c>
      <c r="B248" s="7" t="s">
        <v>295</v>
      </c>
      <c r="C248" s="6" t="s">
        <v>296</v>
      </c>
      <c r="D248" s="8">
        <v>21.6</v>
      </c>
      <c r="E248" s="8">
        <v>11.2</v>
      </c>
      <c r="F248" s="8">
        <v>8.66</v>
      </c>
      <c r="G248" s="8">
        <v>10.7</v>
      </c>
      <c r="H248" s="8">
        <v>0</v>
      </c>
      <c r="I248" s="8">
        <v>0</v>
      </c>
      <c r="J248" s="8">
        <v>16.8</v>
      </c>
      <c r="K248" s="8">
        <v>5.73</v>
      </c>
      <c r="L248" s="8">
        <v>11.7</v>
      </c>
      <c r="M248" s="8">
        <v>25.9</v>
      </c>
    </row>
    <row r="249" spans="1:13" x14ac:dyDescent="0.2">
      <c r="A249" s="6">
        <v>90</v>
      </c>
      <c r="B249" s="7" t="s">
        <v>298</v>
      </c>
      <c r="C249" s="6" t="s">
        <v>299</v>
      </c>
      <c r="D249" s="8">
        <v>12.2</v>
      </c>
      <c r="E249" s="8">
        <v>9.16</v>
      </c>
      <c r="F249" s="8">
        <v>6.11</v>
      </c>
      <c r="G249" s="8">
        <v>3.05</v>
      </c>
      <c r="H249" s="8">
        <v>8.85</v>
      </c>
      <c r="I249" s="8">
        <v>7.88</v>
      </c>
      <c r="J249" s="8">
        <v>31.8</v>
      </c>
      <c r="K249" s="8">
        <v>30.8</v>
      </c>
      <c r="L249" s="8">
        <v>49.8</v>
      </c>
      <c r="M249" s="8">
        <v>38.799999999999997</v>
      </c>
    </row>
    <row r="250" spans="1:13" x14ac:dyDescent="0.2">
      <c r="A250" s="6">
        <v>91</v>
      </c>
      <c r="B250" s="7" t="s">
        <v>301</v>
      </c>
      <c r="C250" s="6" t="s">
        <v>302</v>
      </c>
      <c r="D250" s="8">
        <v>0</v>
      </c>
      <c r="E250" s="8">
        <v>0</v>
      </c>
      <c r="F250" s="8">
        <v>0</v>
      </c>
      <c r="G250" s="8">
        <v>0</v>
      </c>
      <c r="H250" s="8">
        <v>0</v>
      </c>
      <c r="I250" s="8">
        <v>0</v>
      </c>
      <c r="J250" s="8">
        <v>0</v>
      </c>
      <c r="K250" s="8">
        <v>0</v>
      </c>
      <c r="L250" s="8">
        <v>0</v>
      </c>
      <c r="M250" s="8">
        <v>0</v>
      </c>
    </row>
    <row r="251" spans="1:13" ht="30" x14ac:dyDescent="0.2">
      <c r="A251" s="6">
        <v>92</v>
      </c>
      <c r="B251" s="7" t="s">
        <v>304</v>
      </c>
      <c r="C251" s="6" t="s">
        <v>305</v>
      </c>
      <c r="D251" s="8">
        <v>23.3</v>
      </c>
      <c r="E251" s="8">
        <v>55.9</v>
      </c>
      <c r="F251" s="8">
        <v>194.9</v>
      </c>
      <c r="G251" s="8">
        <v>241.7</v>
      </c>
      <c r="H251" s="8">
        <v>228</v>
      </c>
      <c r="I251" s="8">
        <v>203.9</v>
      </c>
      <c r="J251" s="8">
        <v>255.3</v>
      </c>
      <c r="K251" s="8">
        <v>422.9</v>
      </c>
      <c r="L251" s="8">
        <v>462.1</v>
      </c>
      <c r="M251" s="8">
        <v>487.5</v>
      </c>
    </row>
    <row r="252" spans="1:13" x14ac:dyDescent="0.2">
      <c r="A252" s="6">
        <v>93</v>
      </c>
      <c r="B252" s="7" t="s">
        <v>307</v>
      </c>
      <c r="C252" s="6" t="s">
        <v>308</v>
      </c>
      <c r="D252" s="8">
        <v>2.12</v>
      </c>
      <c r="E252" s="8">
        <v>1.82</v>
      </c>
      <c r="F252" s="8">
        <v>0</v>
      </c>
      <c r="G252" s="8">
        <v>0</v>
      </c>
      <c r="H252" s="8">
        <v>0</v>
      </c>
      <c r="I252" s="8">
        <v>0</v>
      </c>
      <c r="J252" s="8">
        <v>0</v>
      </c>
      <c r="K252" s="8">
        <v>0</v>
      </c>
      <c r="L252" s="8">
        <v>0</v>
      </c>
      <c r="M252" s="8">
        <v>0</v>
      </c>
    </row>
    <row r="253" spans="1:13" x14ac:dyDescent="0.2">
      <c r="A253" s="6">
        <v>94</v>
      </c>
      <c r="B253" s="7" t="s">
        <v>310</v>
      </c>
      <c r="C253" s="6" t="s">
        <v>311</v>
      </c>
      <c r="D253" s="8">
        <v>104</v>
      </c>
      <c r="E253" s="8">
        <v>93</v>
      </c>
      <c r="F253" s="8">
        <v>74</v>
      </c>
      <c r="G253" s="8">
        <v>97</v>
      </c>
      <c r="H253" s="8">
        <v>63.9</v>
      </c>
      <c r="I253" s="8">
        <v>40.4</v>
      </c>
      <c r="J253" s="8">
        <v>66</v>
      </c>
      <c r="K253" s="8">
        <v>84</v>
      </c>
      <c r="L253" s="8">
        <v>71</v>
      </c>
      <c r="M253" s="8">
        <v>51</v>
      </c>
    </row>
    <row r="254" spans="1:13" x14ac:dyDescent="0.2">
      <c r="A254" s="6">
        <v>95</v>
      </c>
      <c r="B254" s="7" t="s">
        <v>313</v>
      </c>
      <c r="C254" s="6" t="s">
        <v>314</v>
      </c>
      <c r="D254" s="8">
        <v>0</v>
      </c>
      <c r="E254" s="8">
        <v>0</v>
      </c>
      <c r="F254" s="8">
        <v>0</v>
      </c>
      <c r="G254" s="8">
        <v>0</v>
      </c>
      <c r="H254" s="8">
        <v>0</v>
      </c>
      <c r="I254" s="8">
        <v>0</v>
      </c>
      <c r="J254" s="8">
        <v>0</v>
      </c>
      <c r="K254" s="8">
        <v>0</v>
      </c>
      <c r="L254" s="8">
        <v>0</v>
      </c>
      <c r="M254" s="8">
        <v>0</v>
      </c>
    </row>
    <row r="255" spans="1:13" x14ac:dyDescent="0.2">
      <c r="A255" s="6">
        <v>96</v>
      </c>
      <c r="B255" s="7" t="s">
        <v>316</v>
      </c>
      <c r="C255" s="6" t="s">
        <v>317</v>
      </c>
      <c r="D255" s="8">
        <v>38.299999999999997</v>
      </c>
      <c r="E255" s="8">
        <v>35.5</v>
      </c>
      <c r="F255" s="8">
        <v>90.2</v>
      </c>
      <c r="G255" s="8">
        <v>80</v>
      </c>
      <c r="H255" s="8">
        <v>67.400000000000006</v>
      </c>
      <c r="I255" s="8">
        <v>138.80000000000001</v>
      </c>
      <c r="J255" s="8">
        <v>153.80000000000001</v>
      </c>
      <c r="K255" s="8">
        <v>153.80000000000001</v>
      </c>
      <c r="L255" s="8">
        <v>153.80000000000001</v>
      </c>
      <c r="M255" s="8">
        <v>125.4</v>
      </c>
    </row>
    <row r="256" spans="1:13" x14ac:dyDescent="0.2">
      <c r="A256" s="6">
        <v>97</v>
      </c>
      <c r="B256" s="7" t="s">
        <v>319</v>
      </c>
      <c r="C256" s="6" t="s">
        <v>320</v>
      </c>
      <c r="D256" s="8">
        <v>125.3</v>
      </c>
      <c r="E256" s="8">
        <v>100.3</v>
      </c>
      <c r="F256" s="8">
        <v>10.3</v>
      </c>
      <c r="G256" s="8">
        <v>50.3</v>
      </c>
      <c r="H256" s="8">
        <v>50.3</v>
      </c>
      <c r="I256" s="8">
        <v>50.3</v>
      </c>
      <c r="J256" s="8">
        <v>190.3</v>
      </c>
      <c r="K256" s="8">
        <v>119.7</v>
      </c>
      <c r="L256" s="8">
        <v>90.8</v>
      </c>
      <c r="M256" s="8">
        <v>96.1</v>
      </c>
    </row>
    <row r="257" spans="1:13" x14ac:dyDescent="0.2">
      <c r="A257" s="6">
        <v>98</v>
      </c>
      <c r="B257" s="7" t="s">
        <v>322</v>
      </c>
      <c r="C257" s="6" t="s">
        <v>323</v>
      </c>
      <c r="D257" s="8">
        <v>23.4</v>
      </c>
      <c r="E257" s="8">
        <v>42.3</v>
      </c>
      <c r="F257" s="8">
        <v>53.7</v>
      </c>
      <c r="G257" s="8">
        <v>52.9</v>
      </c>
      <c r="H257" s="8">
        <v>66</v>
      </c>
      <c r="I257" s="8">
        <v>44.3</v>
      </c>
      <c r="J257" s="8">
        <v>14.9</v>
      </c>
      <c r="K257" s="8">
        <v>34.5</v>
      </c>
      <c r="L257" s="8">
        <v>19.600000000000001</v>
      </c>
      <c r="M257" s="8">
        <v>25.6</v>
      </c>
    </row>
    <row r="258" spans="1:13" x14ac:dyDescent="0.2">
      <c r="A258" s="6">
        <v>99</v>
      </c>
      <c r="B258" s="7" t="s">
        <v>325</v>
      </c>
      <c r="C258" s="6" t="s">
        <v>326</v>
      </c>
      <c r="D258" s="8">
        <v>3.72</v>
      </c>
      <c r="E258" s="8">
        <v>55.6</v>
      </c>
      <c r="F258" s="8">
        <v>20.399999999999999</v>
      </c>
      <c r="G258" s="8">
        <v>20.2</v>
      </c>
      <c r="H258" s="8">
        <v>20.100000000000001</v>
      </c>
      <c r="I258" s="8">
        <v>46.9</v>
      </c>
      <c r="J258" s="8">
        <v>29.4</v>
      </c>
      <c r="K258" s="8">
        <v>79.599999999999994</v>
      </c>
      <c r="L258" s="8">
        <v>79.7</v>
      </c>
      <c r="M258" s="8">
        <v>29.9</v>
      </c>
    </row>
    <row r="259" spans="1:13" x14ac:dyDescent="0.2">
      <c r="A259" s="6">
        <v>100</v>
      </c>
      <c r="B259" s="7" t="s">
        <v>328</v>
      </c>
      <c r="C259" s="6" t="s">
        <v>329</v>
      </c>
      <c r="D259" s="8">
        <v>1.89</v>
      </c>
      <c r="E259" s="8">
        <v>1.7</v>
      </c>
      <c r="F259" s="8">
        <v>1.5</v>
      </c>
      <c r="G259" s="8">
        <v>1.32</v>
      </c>
      <c r="H259" s="8">
        <v>1.07</v>
      </c>
      <c r="I259" s="8">
        <v>0.97499999999999998</v>
      </c>
      <c r="J259" s="8">
        <v>10.199999999999999</v>
      </c>
      <c r="K259" s="8">
        <v>9.7100000000000009</v>
      </c>
      <c r="L259" s="8">
        <v>0</v>
      </c>
      <c r="M259" s="8">
        <v>11.8</v>
      </c>
    </row>
    <row r="260" spans="1:13" x14ac:dyDescent="0.2">
      <c r="A260" s="6">
        <v>101</v>
      </c>
      <c r="B260" s="7" t="s">
        <v>331</v>
      </c>
      <c r="C260" s="6" t="s">
        <v>332</v>
      </c>
      <c r="D260" s="8">
        <v>0</v>
      </c>
      <c r="E260" s="8">
        <v>0</v>
      </c>
      <c r="F260" s="8">
        <v>2.5</v>
      </c>
      <c r="G260" s="8">
        <v>8</v>
      </c>
      <c r="H260" s="8">
        <v>5.5</v>
      </c>
      <c r="I260" s="8">
        <v>5.5</v>
      </c>
      <c r="J260" s="8">
        <v>5.5</v>
      </c>
      <c r="K260" s="8">
        <v>5.5</v>
      </c>
      <c r="L260" s="8">
        <v>5</v>
      </c>
      <c r="M260" s="8">
        <v>5</v>
      </c>
    </row>
    <row r="261" spans="1:13" x14ac:dyDescent="0.2">
      <c r="A261" s="6">
        <v>102</v>
      </c>
      <c r="B261" s="7" t="s">
        <v>334</v>
      </c>
      <c r="C261" s="6" t="s">
        <v>335</v>
      </c>
      <c r="D261" s="8">
        <v>335.6</v>
      </c>
      <c r="E261" s="8">
        <v>473.8</v>
      </c>
      <c r="F261" s="8">
        <v>455.1</v>
      </c>
      <c r="G261" s="8">
        <v>444</v>
      </c>
      <c r="H261" s="8">
        <v>486.7</v>
      </c>
      <c r="I261" s="8">
        <v>449.8</v>
      </c>
      <c r="J261" s="8">
        <v>424.1</v>
      </c>
      <c r="K261" s="8">
        <v>440.9</v>
      </c>
      <c r="L261" s="8">
        <v>429.1</v>
      </c>
      <c r="M261" s="8">
        <v>557.4</v>
      </c>
    </row>
    <row r="262" spans="1:13" x14ac:dyDescent="0.2">
      <c r="A262" s="6">
        <v>103</v>
      </c>
      <c r="B262" s="7" t="s">
        <v>337</v>
      </c>
      <c r="C262" s="6" t="s">
        <v>338</v>
      </c>
      <c r="D262" s="8">
        <v>0</v>
      </c>
      <c r="E262" s="8">
        <v>0</v>
      </c>
      <c r="F262" s="8">
        <v>0</v>
      </c>
      <c r="G262" s="8">
        <v>0</v>
      </c>
      <c r="H262" s="8">
        <v>0</v>
      </c>
      <c r="I262" s="8">
        <v>0</v>
      </c>
      <c r="J262" s="8">
        <v>0</v>
      </c>
      <c r="K262" s="8">
        <v>0</v>
      </c>
      <c r="L262" s="8">
        <v>4.13</v>
      </c>
      <c r="M262" s="8">
        <v>2.65</v>
      </c>
    </row>
    <row r="263" spans="1:13" x14ac:dyDescent="0.2">
      <c r="A263" s="6">
        <v>104</v>
      </c>
      <c r="B263" s="7" t="s">
        <v>340</v>
      </c>
      <c r="C263" s="6" t="s">
        <v>341</v>
      </c>
      <c r="D263" s="8">
        <v>0</v>
      </c>
      <c r="E263" s="8">
        <v>272.60000000000002</v>
      </c>
      <c r="F263" s="8">
        <v>291.39999999999998</v>
      </c>
      <c r="G263" s="8">
        <v>245.4</v>
      </c>
      <c r="H263" s="8">
        <v>512.6</v>
      </c>
      <c r="I263" s="8">
        <v>528.6</v>
      </c>
      <c r="J263" s="8">
        <v>545.9</v>
      </c>
      <c r="K263" s="8">
        <v>592.4</v>
      </c>
      <c r="L263" s="8">
        <v>637.1</v>
      </c>
      <c r="M263" s="8">
        <v>540.5</v>
      </c>
    </row>
    <row r="264" spans="1:13" x14ac:dyDescent="0.2">
      <c r="A264" s="6">
        <v>105</v>
      </c>
      <c r="B264" s="7" t="s">
        <v>343</v>
      </c>
      <c r="C264" s="6" t="s">
        <v>344</v>
      </c>
      <c r="D264" s="8">
        <v>0</v>
      </c>
      <c r="E264" s="8">
        <v>0</v>
      </c>
      <c r="F264" s="8">
        <v>0</v>
      </c>
      <c r="G264" s="8">
        <v>0</v>
      </c>
      <c r="H264" s="8">
        <v>0</v>
      </c>
      <c r="I264" s="8">
        <v>0</v>
      </c>
      <c r="J264" s="8">
        <v>0</v>
      </c>
      <c r="K264" s="8">
        <v>0</v>
      </c>
      <c r="L264" s="8">
        <v>0</v>
      </c>
      <c r="M264" s="8">
        <v>0</v>
      </c>
    </row>
    <row r="265" spans="1:13" x14ac:dyDescent="0.2">
      <c r="A265" s="6">
        <v>106</v>
      </c>
      <c r="B265" s="7" t="s">
        <v>346</v>
      </c>
      <c r="C265" s="6" t="s">
        <v>347</v>
      </c>
      <c r="D265" s="8">
        <v>31.2</v>
      </c>
      <c r="E265" s="8">
        <v>26.7</v>
      </c>
      <c r="F265" s="8">
        <v>20.100000000000001</v>
      </c>
      <c r="G265" s="8">
        <v>11.5</v>
      </c>
      <c r="H265" s="8">
        <v>18.5</v>
      </c>
      <c r="I265" s="8">
        <v>17.899999999999999</v>
      </c>
      <c r="J265" s="8">
        <v>47.9</v>
      </c>
      <c r="K265" s="8">
        <v>13.6</v>
      </c>
      <c r="L265" s="8">
        <v>0</v>
      </c>
      <c r="M265" s="8">
        <v>34.1</v>
      </c>
    </row>
    <row r="266" spans="1:13" x14ac:dyDescent="0.2">
      <c r="A266" s="6">
        <v>107</v>
      </c>
      <c r="B266" s="7" t="s">
        <v>349</v>
      </c>
      <c r="C266" s="6" t="s">
        <v>350</v>
      </c>
      <c r="D266" s="8">
        <v>0</v>
      </c>
      <c r="E266" s="8">
        <v>0</v>
      </c>
      <c r="F266" s="8">
        <v>0</v>
      </c>
      <c r="G266" s="8">
        <v>0</v>
      </c>
      <c r="H266" s="8">
        <v>2.14</v>
      </c>
      <c r="I266" s="8">
        <v>0</v>
      </c>
      <c r="J266" s="8">
        <v>0</v>
      </c>
      <c r="K266" s="8">
        <v>0</v>
      </c>
      <c r="L266" s="8">
        <v>0</v>
      </c>
      <c r="M266" s="8">
        <v>0</v>
      </c>
    </row>
    <row r="267" spans="1:13" x14ac:dyDescent="0.2">
      <c r="A267" s="6">
        <v>108</v>
      </c>
      <c r="B267" s="7" t="s">
        <v>352</v>
      </c>
      <c r="C267" s="6" t="s">
        <v>353</v>
      </c>
      <c r="D267" s="8">
        <v>7.01</v>
      </c>
      <c r="E267" s="8">
        <v>0</v>
      </c>
      <c r="F267" s="8">
        <v>0</v>
      </c>
      <c r="G267" s="8">
        <v>0</v>
      </c>
      <c r="H267" s="8">
        <v>0</v>
      </c>
      <c r="I267" s="8">
        <v>0</v>
      </c>
      <c r="J267" s="8">
        <v>0</v>
      </c>
      <c r="K267" s="8">
        <v>0</v>
      </c>
      <c r="L267" s="8">
        <v>0</v>
      </c>
      <c r="M267" s="8">
        <v>0</v>
      </c>
    </row>
    <row r="268" spans="1:13" x14ac:dyDescent="0.2">
      <c r="A268" s="6">
        <v>109</v>
      </c>
      <c r="B268" s="7" t="s">
        <v>355</v>
      </c>
      <c r="C268" s="6" t="s">
        <v>356</v>
      </c>
      <c r="D268" s="8">
        <v>35</v>
      </c>
      <c r="E268" s="8">
        <v>35.700000000000003</v>
      </c>
      <c r="F268" s="8">
        <v>37.5</v>
      </c>
      <c r="G268" s="8">
        <v>34.4</v>
      </c>
      <c r="H268" s="8">
        <v>36.200000000000003</v>
      </c>
      <c r="I268" s="8">
        <v>36.799999999999997</v>
      </c>
      <c r="J268" s="8">
        <v>37.1</v>
      </c>
      <c r="K268" s="8">
        <v>34.700000000000003</v>
      </c>
      <c r="L268" s="8">
        <v>35.6</v>
      </c>
      <c r="M268" s="8">
        <v>0</v>
      </c>
    </row>
    <row r="269" spans="1:13" x14ac:dyDescent="0.2">
      <c r="A269" s="6">
        <v>110</v>
      </c>
      <c r="B269" s="7" t="s">
        <v>358</v>
      </c>
      <c r="C269" s="6" t="s">
        <v>359</v>
      </c>
      <c r="D269" s="8">
        <v>461.8</v>
      </c>
      <c r="E269" s="8">
        <v>391</v>
      </c>
      <c r="F269" s="8">
        <v>386.6</v>
      </c>
      <c r="G269" s="8">
        <v>396.8</v>
      </c>
      <c r="H269" s="8">
        <v>508</v>
      </c>
      <c r="I269" s="8">
        <v>515.29999999999995</v>
      </c>
      <c r="J269" s="8">
        <v>483.8</v>
      </c>
      <c r="K269" s="8">
        <v>402.8</v>
      </c>
      <c r="L269" s="8">
        <v>3.05</v>
      </c>
      <c r="M269" s="8"/>
    </row>
    <row r="270" spans="1:13" x14ac:dyDescent="0.2">
      <c r="A270" s="6">
        <v>111</v>
      </c>
      <c r="B270" s="7" t="s">
        <v>361</v>
      </c>
      <c r="C270" s="6" t="s">
        <v>362</v>
      </c>
      <c r="D270" s="8">
        <v>0</v>
      </c>
      <c r="E270" s="8">
        <v>0</v>
      </c>
      <c r="F270" s="8">
        <v>2.5</v>
      </c>
      <c r="G270" s="8">
        <v>4.3600000000000003</v>
      </c>
      <c r="H270" s="8">
        <v>4.7699999999999996</v>
      </c>
      <c r="I270" s="8">
        <v>2.92</v>
      </c>
      <c r="J270" s="8">
        <v>1.66</v>
      </c>
      <c r="K270" s="8">
        <v>0</v>
      </c>
      <c r="L270" s="8">
        <v>0</v>
      </c>
      <c r="M270" s="8">
        <v>0</v>
      </c>
    </row>
    <row r="271" spans="1:13" x14ac:dyDescent="0.2">
      <c r="A271" s="6">
        <v>112</v>
      </c>
      <c r="B271" s="7" t="s">
        <v>364</v>
      </c>
      <c r="C271" s="6" t="s">
        <v>365</v>
      </c>
      <c r="D271" s="8">
        <v>24.2</v>
      </c>
      <c r="E271" s="8">
        <v>21.9</v>
      </c>
      <c r="F271" s="8">
        <v>0</v>
      </c>
      <c r="G271" s="8">
        <v>0</v>
      </c>
      <c r="H271" s="8">
        <v>30.1</v>
      </c>
      <c r="I271" s="8">
        <v>50.4</v>
      </c>
      <c r="J271" s="8">
        <v>87.7</v>
      </c>
      <c r="K271" s="8">
        <v>43.8</v>
      </c>
      <c r="L271" s="8">
        <v>18.5</v>
      </c>
      <c r="M271" s="8">
        <v>11.3</v>
      </c>
    </row>
    <row r="272" spans="1:13" ht="30" x14ac:dyDescent="0.2">
      <c r="A272" s="6">
        <v>113</v>
      </c>
      <c r="B272" s="7" t="s">
        <v>367</v>
      </c>
      <c r="C272" s="6" t="s">
        <v>368</v>
      </c>
      <c r="D272" s="8">
        <v>15.2</v>
      </c>
      <c r="E272" s="8">
        <v>44.7</v>
      </c>
      <c r="F272" s="8">
        <v>33.9</v>
      </c>
      <c r="G272" s="8">
        <v>43.5</v>
      </c>
      <c r="H272" s="8">
        <v>33.299999999999997</v>
      </c>
      <c r="I272" s="8">
        <v>55.4</v>
      </c>
      <c r="J272" s="8">
        <v>55</v>
      </c>
      <c r="K272" s="8">
        <v>141.9</v>
      </c>
      <c r="L272" s="8">
        <v>118</v>
      </c>
      <c r="M272" s="8">
        <v>132.69999999999999</v>
      </c>
    </row>
    <row r="273" spans="1:13" x14ac:dyDescent="0.2">
      <c r="A273" s="6">
        <v>114</v>
      </c>
      <c r="B273" s="7" t="s">
        <v>370</v>
      </c>
      <c r="C273" s="6" t="s">
        <v>371</v>
      </c>
      <c r="D273" s="8">
        <v>13.4</v>
      </c>
      <c r="E273" s="8">
        <v>12.8</v>
      </c>
      <c r="F273" s="8">
        <v>11.5</v>
      </c>
      <c r="G273" s="8">
        <v>14.8</v>
      </c>
      <c r="H273" s="8">
        <v>18.399999999999999</v>
      </c>
      <c r="I273" s="8">
        <v>17.600000000000001</v>
      </c>
      <c r="J273" s="8">
        <v>20.100000000000001</v>
      </c>
      <c r="K273" s="8">
        <v>19.3</v>
      </c>
      <c r="L273" s="8">
        <v>16.399999999999999</v>
      </c>
      <c r="M273" s="8">
        <v>15.2</v>
      </c>
    </row>
    <row r="274" spans="1:13" x14ac:dyDescent="0.2">
      <c r="A274" s="6">
        <v>115</v>
      </c>
      <c r="B274" s="7" t="s">
        <v>373</v>
      </c>
      <c r="C274" s="6" t="s">
        <v>374</v>
      </c>
      <c r="D274" s="8">
        <v>0</v>
      </c>
      <c r="E274" s="8">
        <v>0</v>
      </c>
      <c r="F274" s="8">
        <v>0</v>
      </c>
      <c r="G274" s="8">
        <v>0</v>
      </c>
      <c r="H274" s="8">
        <v>7.34</v>
      </c>
      <c r="I274" s="8">
        <v>47.5</v>
      </c>
      <c r="J274" s="8">
        <v>45.3</v>
      </c>
      <c r="K274" s="8">
        <v>389.2</v>
      </c>
      <c r="L274" s="8">
        <v>355.9</v>
      </c>
      <c r="M274" s="8">
        <v>356.2</v>
      </c>
    </row>
    <row r="275" spans="1:13" ht="30" x14ac:dyDescent="0.2">
      <c r="A275" s="6">
        <v>116</v>
      </c>
      <c r="B275" s="7" t="s">
        <v>376</v>
      </c>
      <c r="C275" s="6" t="s">
        <v>377</v>
      </c>
      <c r="D275" s="8">
        <v>22.1</v>
      </c>
      <c r="E275" s="8">
        <v>15.3</v>
      </c>
      <c r="F275" s="8">
        <v>809.9</v>
      </c>
      <c r="G275" s="8">
        <v>684.8</v>
      </c>
      <c r="H275" s="8">
        <v>591.5</v>
      </c>
      <c r="I275" s="8">
        <v>508</v>
      </c>
      <c r="J275" s="8">
        <v>501.8</v>
      </c>
      <c r="K275" s="8">
        <v>368</v>
      </c>
      <c r="L275" s="8">
        <v>366.1</v>
      </c>
      <c r="M275" s="8">
        <v>362.4</v>
      </c>
    </row>
    <row r="276" spans="1:13" x14ac:dyDescent="0.2">
      <c r="A276" s="6">
        <v>117</v>
      </c>
      <c r="B276" s="7" t="s">
        <v>379</v>
      </c>
      <c r="C276" s="6" t="s">
        <v>380</v>
      </c>
      <c r="D276" s="8">
        <v>53.6</v>
      </c>
      <c r="E276" s="8">
        <v>41.9</v>
      </c>
      <c r="F276" s="8">
        <v>49.4</v>
      </c>
      <c r="G276" s="8">
        <v>35.9</v>
      </c>
      <c r="H276" s="8">
        <v>210.7</v>
      </c>
      <c r="I276" s="8">
        <v>100.9</v>
      </c>
      <c r="J276" s="8">
        <v>42.9</v>
      </c>
      <c r="K276" s="8">
        <v>138.1</v>
      </c>
      <c r="L276" s="8">
        <v>63.3</v>
      </c>
      <c r="M276" s="8">
        <v>13.4</v>
      </c>
    </row>
    <row r="277" spans="1:13" x14ac:dyDescent="0.2">
      <c r="A277" s="6">
        <v>118</v>
      </c>
      <c r="B277" s="7" t="s">
        <v>382</v>
      </c>
      <c r="C277" s="6" t="s">
        <v>383</v>
      </c>
      <c r="D277" s="8">
        <v>47</v>
      </c>
      <c r="E277" s="8">
        <v>260.3</v>
      </c>
      <c r="F277" s="8">
        <v>246</v>
      </c>
      <c r="G277" s="8">
        <v>231.9</v>
      </c>
      <c r="H277" s="8">
        <v>712.3</v>
      </c>
      <c r="I277" s="8">
        <v>494.6</v>
      </c>
      <c r="J277" s="8">
        <v>495.3</v>
      </c>
      <c r="K277" s="8">
        <v>496</v>
      </c>
      <c r="L277" s="8">
        <v>496.8</v>
      </c>
      <c r="M277" s="8">
        <v>497.7</v>
      </c>
    </row>
    <row r="278" spans="1:13" ht="30" x14ac:dyDescent="0.2">
      <c r="A278" s="6">
        <v>119</v>
      </c>
      <c r="B278" s="7" t="s">
        <v>385</v>
      </c>
      <c r="C278" s="6" t="s">
        <v>386</v>
      </c>
      <c r="D278" s="8">
        <v>84.9</v>
      </c>
      <c r="E278" s="8">
        <v>95.9</v>
      </c>
      <c r="F278" s="8">
        <v>106.9</v>
      </c>
      <c r="G278" s="8">
        <v>121.6</v>
      </c>
      <c r="H278" s="8">
        <v>127.8</v>
      </c>
      <c r="I278" s="8">
        <v>125.1</v>
      </c>
      <c r="J278" s="8">
        <v>118.7</v>
      </c>
      <c r="K278" s="8">
        <v>190.6</v>
      </c>
      <c r="L278" s="8">
        <v>216.9</v>
      </c>
      <c r="M278" s="8">
        <v>219.3</v>
      </c>
    </row>
    <row r="279" spans="1:13" x14ac:dyDescent="0.2">
      <c r="A279" s="6">
        <v>120</v>
      </c>
      <c r="B279" s="7" t="s">
        <v>388</v>
      </c>
      <c r="C279" s="6" t="s">
        <v>389</v>
      </c>
      <c r="D279" s="8">
        <v>0</v>
      </c>
      <c r="E279" s="8">
        <v>0</v>
      </c>
      <c r="F279" s="8">
        <v>0</v>
      </c>
      <c r="G279" s="8">
        <v>0</v>
      </c>
      <c r="H279" s="8">
        <v>0</v>
      </c>
      <c r="I279" s="8">
        <v>0</v>
      </c>
      <c r="J279" s="8">
        <v>0</v>
      </c>
      <c r="K279" s="8">
        <v>0</v>
      </c>
      <c r="L279" s="8">
        <v>0</v>
      </c>
      <c r="M279" s="8">
        <v>0</v>
      </c>
    </row>
    <row r="280" spans="1:13" ht="30" x14ac:dyDescent="0.2">
      <c r="A280" s="6">
        <v>121</v>
      </c>
      <c r="B280" s="7" t="s">
        <v>391</v>
      </c>
      <c r="C280" s="6" t="s">
        <v>392</v>
      </c>
      <c r="D280" s="8">
        <v>0</v>
      </c>
      <c r="E280" s="8">
        <v>5</v>
      </c>
      <c r="F280" s="8">
        <v>5</v>
      </c>
      <c r="G280" s="8">
        <v>5</v>
      </c>
      <c r="H280" s="8">
        <v>10</v>
      </c>
      <c r="I280" s="8">
        <v>21</v>
      </c>
      <c r="J280" s="8">
        <v>20.5</v>
      </c>
      <c r="K280" s="8">
        <v>19.899999999999999</v>
      </c>
      <c r="L280" s="8">
        <v>19.3</v>
      </c>
      <c r="M280" s="8">
        <v>8.8000000000000007</v>
      </c>
    </row>
    <row r="281" spans="1:13" x14ac:dyDescent="0.2">
      <c r="A281" s="6">
        <v>122</v>
      </c>
      <c r="B281" s="7" t="s">
        <v>394</v>
      </c>
      <c r="C281" s="6" t="s">
        <v>395</v>
      </c>
      <c r="D281" s="8">
        <v>0</v>
      </c>
      <c r="E281" s="8">
        <v>0</v>
      </c>
      <c r="F281" s="8">
        <v>0</v>
      </c>
      <c r="G281" s="8">
        <v>0</v>
      </c>
      <c r="H281" s="8">
        <v>70.099999999999994</v>
      </c>
      <c r="I281" s="8">
        <v>39.299999999999997</v>
      </c>
      <c r="J281" s="8">
        <v>104.4</v>
      </c>
      <c r="K281" s="8">
        <v>73.599999999999994</v>
      </c>
      <c r="L281" s="8">
        <v>38</v>
      </c>
      <c r="M281" s="8">
        <v>38.200000000000003</v>
      </c>
    </row>
    <row r="282" spans="1:13" x14ac:dyDescent="0.2">
      <c r="A282" s="6">
        <v>123</v>
      </c>
      <c r="B282" s="7" t="s">
        <v>397</v>
      </c>
      <c r="C282" s="6" t="s">
        <v>398</v>
      </c>
      <c r="D282" s="8">
        <v>72.599999999999994</v>
      </c>
      <c r="E282" s="8">
        <v>71.400000000000006</v>
      </c>
      <c r="F282" s="8">
        <v>45.2</v>
      </c>
      <c r="G282" s="8">
        <v>79.3</v>
      </c>
      <c r="H282" s="8">
        <v>70.2</v>
      </c>
      <c r="I282" s="8">
        <v>35.200000000000003</v>
      </c>
      <c r="J282" s="8">
        <v>31.7</v>
      </c>
      <c r="K282" s="8">
        <v>31.7</v>
      </c>
      <c r="L282" s="8">
        <v>15.2</v>
      </c>
      <c r="M282" s="8">
        <v>35.299999999999997</v>
      </c>
    </row>
    <row r="283" spans="1:13" x14ac:dyDescent="0.2">
      <c r="A283" s="6">
        <v>124</v>
      </c>
      <c r="B283" s="7" t="s">
        <v>400</v>
      </c>
      <c r="C283" s="6" t="s">
        <v>401</v>
      </c>
      <c r="D283" s="8">
        <v>264.8</v>
      </c>
      <c r="E283" s="8">
        <v>248.3</v>
      </c>
      <c r="F283" s="8">
        <v>200</v>
      </c>
      <c r="G283" s="8">
        <v>297</v>
      </c>
      <c r="H283" s="8">
        <v>275</v>
      </c>
      <c r="I283" s="8">
        <v>135</v>
      </c>
      <c r="J283" s="8">
        <v>115</v>
      </c>
      <c r="K283" s="8">
        <v>170</v>
      </c>
      <c r="L283" s="8">
        <v>195</v>
      </c>
      <c r="M283" s="8">
        <v>215</v>
      </c>
    </row>
    <row r="284" spans="1:13" ht="30" x14ac:dyDescent="0.2">
      <c r="A284" s="6">
        <v>125</v>
      </c>
      <c r="B284" s="7" t="s">
        <v>403</v>
      </c>
      <c r="C284" s="6" t="s">
        <v>404</v>
      </c>
      <c r="D284" s="8">
        <v>430.6</v>
      </c>
      <c r="E284" s="8">
        <v>46.8</v>
      </c>
      <c r="F284" s="8">
        <v>16.600000000000001</v>
      </c>
      <c r="G284" s="8">
        <v>0</v>
      </c>
      <c r="H284" s="8">
        <v>0</v>
      </c>
      <c r="I284" s="8">
        <v>83.8</v>
      </c>
      <c r="J284" s="8">
        <v>77.7</v>
      </c>
      <c r="K284" s="8">
        <v>70.5</v>
      </c>
      <c r="L284" s="8">
        <v>63.7</v>
      </c>
      <c r="M284" s="8">
        <v>63.8</v>
      </c>
    </row>
    <row r="285" spans="1:13" x14ac:dyDescent="0.2">
      <c r="A285" s="6">
        <v>126</v>
      </c>
      <c r="B285" s="7" t="s">
        <v>406</v>
      </c>
      <c r="C285" s="6" t="s">
        <v>407</v>
      </c>
      <c r="D285" s="8">
        <v>242.8</v>
      </c>
      <c r="E285" s="8">
        <v>146.19999999999999</v>
      </c>
      <c r="F285" s="8">
        <v>1006.9</v>
      </c>
      <c r="G285" s="8">
        <v>1126.3</v>
      </c>
      <c r="H285" s="8">
        <v>1219.0999999999999</v>
      </c>
      <c r="I285" s="8">
        <v>1470.9</v>
      </c>
      <c r="J285" s="8">
        <v>1821.4</v>
      </c>
      <c r="K285" s="8">
        <v>2102.1999999999998</v>
      </c>
      <c r="L285" s="8">
        <v>2322.1999999999998</v>
      </c>
      <c r="M285" s="8">
        <v>2300.3000000000002</v>
      </c>
    </row>
    <row r="286" spans="1:13" ht="30" x14ac:dyDescent="0.2">
      <c r="A286" s="6">
        <v>127</v>
      </c>
      <c r="B286" s="7" t="s">
        <v>409</v>
      </c>
      <c r="C286" s="6" t="s">
        <v>410</v>
      </c>
      <c r="D286" s="8">
        <v>0</v>
      </c>
      <c r="E286" s="8">
        <v>0</v>
      </c>
      <c r="F286" s="8">
        <v>0</v>
      </c>
      <c r="G286" s="8">
        <v>0</v>
      </c>
      <c r="H286" s="8">
        <v>0</v>
      </c>
      <c r="I286" s="8">
        <v>151.80000000000001</v>
      </c>
      <c r="J286" s="8">
        <v>93.2</v>
      </c>
      <c r="K286" s="8">
        <v>94.7</v>
      </c>
      <c r="L286" s="8">
        <v>93.4</v>
      </c>
      <c r="M286" s="8">
        <v>94.7</v>
      </c>
    </row>
    <row r="287" spans="1:13" ht="30" x14ac:dyDescent="0.2">
      <c r="A287" s="6">
        <v>128</v>
      </c>
      <c r="B287" s="7" t="s">
        <v>412</v>
      </c>
      <c r="C287" s="6" t="s">
        <v>413</v>
      </c>
      <c r="D287" s="8">
        <v>0</v>
      </c>
      <c r="E287" s="8">
        <v>0</v>
      </c>
      <c r="F287" s="8">
        <v>0</v>
      </c>
      <c r="G287" s="8">
        <v>0</v>
      </c>
      <c r="H287" s="8">
        <v>0</v>
      </c>
      <c r="I287" s="8">
        <v>0</v>
      </c>
      <c r="J287" s="8">
        <v>0</v>
      </c>
      <c r="K287" s="8">
        <v>0</v>
      </c>
      <c r="L287" s="8">
        <v>0</v>
      </c>
      <c r="M287" s="8">
        <v>0</v>
      </c>
    </row>
    <row r="288" spans="1:13" x14ac:dyDescent="0.2">
      <c r="A288" s="6">
        <v>129</v>
      </c>
      <c r="B288" s="7" t="s">
        <v>415</v>
      </c>
      <c r="C288" s="6" t="s">
        <v>416</v>
      </c>
      <c r="D288" s="8">
        <v>3.09</v>
      </c>
      <c r="E288" s="8">
        <v>3.09</v>
      </c>
      <c r="F288" s="8">
        <v>3.09</v>
      </c>
      <c r="G288" s="8">
        <v>3.09</v>
      </c>
      <c r="H288" s="8">
        <v>3.09</v>
      </c>
      <c r="I288" s="8">
        <v>3.09</v>
      </c>
      <c r="J288" s="8">
        <v>3.09</v>
      </c>
      <c r="K288" s="8">
        <v>15.6</v>
      </c>
      <c r="L288" s="8">
        <v>12.1</v>
      </c>
      <c r="M288" s="8">
        <v>7.09</v>
      </c>
    </row>
    <row r="289" spans="1:13" x14ac:dyDescent="0.2">
      <c r="A289" s="6">
        <v>130</v>
      </c>
      <c r="B289" s="7" t="s">
        <v>418</v>
      </c>
      <c r="C289" s="6" t="s">
        <v>419</v>
      </c>
      <c r="D289" s="8">
        <v>20.5</v>
      </c>
      <c r="E289" s="8">
        <v>20.2</v>
      </c>
      <c r="F289" s="8">
        <v>19.2</v>
      </c>
      <c r="G289" s="8">
        <v>18.399999999999999</v>
      </c>
      <c r="H289" s="8">
        <v>32.200000000000003</v>
      </c>
      <c r="I289" s="8">
        <v>19.100000000000001</v>
      </c>
      <c r="J289" s="8">
        <v>19.2</v>
      </c>
      <c r="K289" s="8">
        <v>72.599999999999994</v>
      </c>
      <c r="L289" s="8">
        <v>22.7</v>
      </c>
      <c r="M289" s="8">
        <v>42</v>
      </c>
    </row>
    <row r="290" spans="1:13" x14ac:dyDescent="0.2">
      <c r="A290" s="6">
        <v>131</v>
      </c>
      <c r="B290" s="7" t="s">
        <v>421</v>
      </c>
      <c r="C290" s="6" t="s">
        <v>422</v>
      </c>
      <c r="D290" s="8">
        <v>245.1</v>
      </c>
      <c r="E290" s="8">
        <v>233</v>
      </c>
      <c r="F290" s="8">
        <v>218.9</v>
      </c>
      <c r="G290" s="8">
        <v>210.5</v>
      </c>
      <c r="H290" s="8">
        <v>22.1</v>
      </c>
      <c r="I290" s="8">
        <v>74.8</v>
      </c>
      <c r="J290" s="8">
        <v>101.4</v>
      </c>
      <c r="K290" s="8">
        <v>91.2</v>
      </c>
      <c r="L290" s="8">
        <v>95.8</v>
      </c>
      <c r="M290" s="8">
        <v>128.69999999999999</v>
      </c>
    </row>
    <row r="291" spans="1:13" x14ac:dyDescent="0.2">
      <c r="A291" s="6">
        <v>132</v>
      </c>
      <c r="B291" s="7" t="s">
        <v>424</v>
      </c>
      <c r="C291" s="6" t="s">
        <v>425</v>
      </c>
      <c r="D291" s="8">
        <v>266.5</v>
      </c>
      <c r="E291" s="8">
        <v>335.5</v>
      </c>
      <c r="F291" s="8">
        <v>322.7</v>
      </c>
      <c r="G291" s="8">
        <v>289</v>
      </c>
      <c r="H291" s="8">
        <v>268</v>
      </c>
      <c r="I291" s="8">
        <v>245</v>
      </c>
      <c r="J291" s="8">
        <v>238.2</v>
      </c>
      <c r="K291" s="8">
        <v>233.8</v>
      </c>
      <c r="L291" s="8">
        <v>211.3</v>
      </c>
      <c r="M291" s="8">
        <v>283.3</v>
      </c>
    </row>
    <row r="292" spans="1:13" ht="30" x14ac:dyDescent="0.2">
      <c r="A292" s="6">
        <v>133</v>
      </c>
      <c r="B292" s="7" t="s">
        <v>427</v>
      </c>
      <c r="C292" s="6" t="s">
        <v>428</v>
      </c>
      <c r="D292" s="8">
        <v>40.799999999999997</v>
      </c>
      <c r="E292" s="8">
        <v>30.8</v>
      </c>
      <c r="F292" s="8">
        <v>23.7</v>
      </c>
      <c r="G292" s="8">
        <v>73.7</v>
      </c>
      <c r="H292" s="8">
        <v>23.7</v>
      </c>
      <c r="I292" s="8">
        <v>88.9</v>
      </c>
      <c r="J292" s="8">
        <v>89</v>
      </c>
      <c r="K292" s="8">
        <v>139.19999999999999</v>
      </c>
      <c r="L292" s="8">
        <v>109.3</v>
      </c>
      <c r="M292" s="8">
        <v>133.9</v>
      </c>
    </row>
    <row r="293" spans="1:13" x14ac:dyDescent="0.2">
      <c r="A293" s="6">
        <v>134</v>
      </c>
      <c r="B293" s="7" t="s">
        <v>430</v>
      </c>
      <c r="C293" s="6" t="s">
        <v>431</v>
      </c>
      <c r="D293" s="8">
        <v>0</v>
      </c>
      <c r="E293" s="8">
        <v>0</v>
      </c>
      <c r="F293" s="8">
        <v>0</v>
      </c>
      <c r="G293" s="8">
        <v>0</v>
      </c>
      <c r="H293" s="8">
        <v>0</v>
      </c>
      <c r="I293" s="8">
        <v>0</v>
      </c>
      <c r="J293" s="8">
        <v>0</v>
      </c>
      <c r="K293" s="8">
        <v>0</v>
      </c>
      <c r="L293" s="8">
        <v>0</v>
      </c>
      <c r="M293" s="8">
        <v>0</v>
      </c>
    </row>
    <row r="294" spans="1:13" x14ac:dyDescent="0.2">
      <c r="A294" s="6">
        <v>135</v>
      </c>
      <c r="B294" s="7" t="s">
        <v>433</v>
      </c>
      <c r="C294" s="6" t="s">
        <v>434</v>
      </c>
      <c r="D294" s="8">
        <v>120.1</v>
      </c>
      <c r="E294" s="8">
        <v>115.1</v>
      </c>
      <c r="F294" s="8">
        <v>65.2</v>
      </c>
      <c r="G294" s="8">
        <v>10.199999999999999</v>
      </c>
      <c r="H294" s="8">
        <v>61.1</v>
      </c>
      <c r="I294" s="8">
        <v>55.1</v>
      </c>
      <c r="J294" s="8">
        <v>8.4000000000000005E-2</v>
      </c>
      <c r="K294" s="8">
        <v>2.15</v>
      </c>
      <c r="L294" s="8">
        <v>95.8</v>
      </c>
      <c r="M294" s="8">
        <v>96.4</v>
      </c>
    </row>
    <row r="295" spans="1:13" x14ac:dyDescent="0.2">
      <c r="A295" s="6">
        <v>136</v>
      </c>
      <c r="B295" s="7" t="s">
        <v>436</v>
      </c>
      <c r="C295" s="6" t="s">
        <v>437</v>
      </c>
      <c r="D295" s="8">
        <v>0</v>
      </c>
      <c r="E295" s="8"/>
      <c r="F295" s="8">
        <v>0</v>
      </c>
      <c r="G295" s="8">
        <v>0</v>
      </c>
      <c r="H295" s="8">
        <v>0</v>
      </c>
      <c r="I295" s="8">
        <v>0</v>
      </c>
      <c r="J295" s="8">
        <v>0</v>
      </c>
      <c r="K295" s="8">
        <v>0</v>
      </c>
      <c r="L295" s="8">
        <v>0</v>
      </c>
      <c r="M295" s="8">
        <v>0</v>
      </c>
    </row>
    <row r="296" spans="1:13" x14ac:dyDescent="0.2">
      <c r="A296" s="6">
        <v>137</v>
      </c>
      <c r="B296" s="7" t="s">
        <v>439</v>
      </c>
      <c r="C296" s="6" t="s">
        <v>440</v>
      </c>
      <c r="D296" s="8">
        <v>73.7</v>
      </c>
      <c r="E296" s="8">
        <v>86.6</v>
      </c>
      <c r="F296" s="8">
        <v>56.8</v>
      </c>
      <c r="G296" s="8">
        <v>14.4</v>
      </c>
      <c r="H296" s="8">
        <v>33</v>
      </c>
      <c r="I296" s="8">
        <v>15.7</v>
      </c>
      <c r="J296" s="8">
        <v>44.9</v>
      </c>
      <c r="K296" s="8">
        <v>34.700000000000003</v>
      </c>
      <c r="L296" s="8">
        <v>0</v>
      </c>
      <c r="M296" s="8">
        <v>3.38</v>
      </c>
    </row>
    <row r="297" spans="1:13" x14ac:dyDescent="0.2">
      <c r="A297" s="6">
        <v>138</v>
      </c>
      <c r="B297" s="7" t="s">
        <v>442</v>
      </c>
      <c r="C297" s="6" t="s">
        <v>443</v>
      </c>
      <c r="D297" s="8">
        <v>359.2</v>
      </c>
      <c r="E297" s="8">
        <v>319.8</v>
      </c>
      <c r="F297" s="8">
        <v>440.6</v>
      </c>
      <c r="G297" s="8">
        <v>617.20000000000005</v>
      </c>
      <c r="H297" s="8">
        <v>858</v>
      </c>
      <c r="I297" s="8">
        <v>842.3</v>
      </c>
      <c r="J297" s="8">
        <v>843.5</v>
      </c>
      <c r="K297" s="8">
        <v>1304.7</v>
      </c>
      <c r="L297" s="8">
        <v>1055.9000000000001</v>
      </c>
      <c r="M297" s="8">
        <v>767.1</v>
      </c>
    </row>
    <row r="298" spans="1:13" ht="30" x14ac:dyDescent="0.2">
      <c r="A298" s="6">
        <v>139</v>
      </c>
      <c r="B298" s="7" t="s">
        <v>445</v>
      </c>
      <c r="C298" s="6" t="s">
        <v>446</v>
      </c>
      <c r="D298" s="8">
        <v>134.5</v>
      </c>
      <c r="E298" s="8">
        <v>139</v>
      </c>
      <c r="F298" s="8">
        <v>152.9</v>
      </c>
      <c r="G298" s="8">
        <v>230.8</v>
      </c>
      <c r="H298" s="8">
        <v>273.2</v>
      </c>
      <c r="I298" s="8">
        <v>306.5</v>
      </c>
      <c r="J298" s="8">
        <v>290.3</v>
      </c>
      <c r="K298" s="8">
        <v>358.2</v>
      </c>
      <c r="L298" s="8">
        <v>352.8</v>
      </c>
      <c r="M298" s="8">
        <v>378.9</v>
      </c>
    </row>
    <row r="299" spans="1:13" x14ac:dyDescent="0.2">
      <c r="A299" s="6">
        <v>140</v>
      </c>
      <c r="B299" s="7" t="s">
        <v>448</v>
      </c>
      <c r="C299" s="6" t="s">
        <v>449</v>
      </c>
      <c r="D299" s="8">
        <v>20.2</v>
      </c>
      <c r="E299" s="8">
        <v>14.8</v>
      </c>
      <c r="F299" s="8">
        <v>8.94</v>
      </c>
      <c r="G299" s="8">
        <v>0</v>
      </c>
      <c r="H299" s="8">
        <v>0</v>
      </c>
      <c r="I299" s="8">
        <v>0</v>
      </c>
      <c r="J299" s="8">
        <v>0</v>
      </c>
      <c r="K299" s="8">
        <v>0</v>
      </c>
      <c r="L299" s="8">
        <v>0</v>
      </c>
      <c r="M299" s="8">
        <v>0</v>
      </c>
    </row>
    <row r="300" spans="1:13" x14ac:dyDescent="0.2">
      <c r="A300" s="6">
        <v>141</v>
      </c>
      <c r="B300" s="7" t="s">
        <v>451</v>
      </c>
      <c r="C300" s="6" t="s">
        <v>452</v>
      </c>
      <c r="D300" s="8">
        <v>308.39999999999998</v>
      </c>
      <c r="E300" s="8">
        <v>276.5</v>
      </c>
      <c r="F300" s="8">
        <v>244.9</v>
      </c>
      <c r="G300" s="8">
        <v>227.3</v>
      </c>
      <c r="H300" s="8">
        <v>245.7</v>
      </c>
      <c r="I300" s="8">
        <v>209</v>
      </c>
      <c r="J300" s="8">
        <v>198.2</v>
      </c>
      <c r="K300" s="8">
        <v>182.2</v>
      </c>
      <c r="L300" s="8">
        <v>147.19999999999999</v>
      </c>
      <c r="M300" s="8">
        <v>135.6</v>
      </c>
    </row>
    <row r="301" spans="1:13" x14ac:dyDescent="0.2">
      <c r="A301" s="6">
        <v>142</v>
      </c>
      <c r="B301" s="7" t="s">
        <v>454</v>
      </c>
      <c r="C301" s="6" t="s">
        <v>455</v>
      </c>
      <c r="D301" s="8">
        <v>30</v>
      </c>
      <c r="E301" s="8">
        <v>248.3</v>
      </c>
      <c r="F301" s="8">
        <v>329.2</v>
      </c>
      <c r="G301" s="8">
        <v>277.8</v>
      </c>
      <c r="H301" s="8">
        <v>201.2</v>
      </c>
      <c r="I301" s="8">
        <v>266.3</v>
      </c>
      <c r="J301" s="8">
        <v>255</v>
      </c>
      <c r="K301" s="8">
        <v>253.4</v>
      </c>
      <c r="L301" s="8">
        <v>232.1</v>
      </c>
      <c r="M301" s="8">
        <v>390</v>
      </c>
    </row>
    <row r="302" spans="1:13" x14ac:dyDescent="0.2">
      <c r="A302" s="6">
        <v>143</v>
      </c>
      <c r="B302" s="7" t="s">
        <v>457</v>
      </c>
      <c r="C302" s="6" t="s">
        <v>458</v>
      </c>
      <c r="D302" s="8">
        <v>172.6</v>
      </c>
      <c r="E302" s="8">
        <v>126.7</v>
      </c>
      <c r="F302" s="8">
        <v>97.4</v>
      </c>
      <c r="G302" s="8">
        <v>1.67</v>
      </c>
      <c r="H302" s="8">
        <v>20</v>
      </c>
      <c r="I302" s="8">
        <v>28.4</v>
      </c>
      <c r="J302" s="8">
        <v>62.4</v>
      </c>
      <c r="K302" s="8">
        <v>78.7</v>
      </c>
      <c r="L302" s="8">
        <v>106.4</v>
      </c>
      <c r="M302" s="8">
        <v>157.80000000000001</v>
      </c>
    </row>
    <row r="303" spans="1:13" x14ac:dyDescent="0.2">
      <c r="A303" s="6">
        <v>144</v>
      </c>
      <c r="B303" s="7" t="s">
        <v>460</v>
      </c>
      <c r="C303" s="6" t="s">
        <v>461</v>
      </c>
      <c r="D303" s="8">
        <v>0</v>
      </c>
      <c r="E303" s="8">
        <v>5.9</v>
      </c>
      <c r="F303" s="8">
        <v>0</v>
      </c>
      <c r="G303" s="8">
        <v>0</v>
      </c>
      <c r="H303" s="8">
        <v>0</v>
      </c>
      <c r="I303" s="8">
        <v>0</v>
      </c>
      <c r="J303" s="8">
        <v>0</v>
      </c>
      <c r="K303" s="8">
        <v>0</v>
      </c>
      <c r="L303" s="8">
        <v>0</v>
      </c>
      <c r="M303" s="8">
        <v>0</v>
      </c>
    </row>
    <row r="304" spans="1:13" ht="30" x14ac:dyDescent="0.2">
      <c r="A304" s="6">
        <v>145</v>
      </c>
      <c r="B304" s="7" t="s">
        <v>463</v>
      </c>
      <c r="C304" s="6" t="s">
        <v>464</v>
      </c>
      <c r="D304" s="8">
        <v>0</v>
      </c>
      <c r="E304" s="8">
        <v>0</v>
      </c>
      <c r="F304" s="8">
        <v>0</v>
      </c>
      <c r="G304" s="8">
        <v>0</v>
      </c>
      <c r="H304" s="8">
        <v>0</v>
      </c>
      <c r="I304" s="8">
        <v>0</v>
      </c>
      <c r="J304" s="8">
        <v>0</v>
      </c>
      <c r="K304" s="8">
        <v>0</v>
      </c>
      <c r="L304" s="8">
        <v>0</v>
      </c>
      <c r="M304" s="8">
        <v>0</v>
      </c>
    </row>
    <row r="305" spans="1:13" x14ac:dyDescent="0.2">
      <c r="A305" s="6">
        <v>146</v>
      </c>
      <c r="B305" s="7" t="s">
        <v>466</v>
      </c>
      <c r="C305" s="6" t="s">
        <v>467</v>
      </c>
      <c r="D305" s="8">
        <v>0</v>
      </c>
      <c r="E305" s="8">
        <v>0</v>
      </c>
      <c r="F305" s="8">
        <v>0</v>
      </c>
      <c r="G305" s="8">
        <v>0</v>
      </c>
      <c r="H305" s="8">
        <v>0</v>
      </c>
      <c r="I305" s="8">
        <v>0</v>
      </c>
      <c r="J305" s="8">
        <v>0</v>
      </c>
      <c r="K305" s="8">
        <v>25</v>
      </c>
      <c r="L305" s="8">
        <v>0</v>
      </c>
      <c r="M305" s="8">
        <v>0</v>
      </c>
    </row>
    <row r="306" spans="1:13" x14ac:dyDescent="0.2">
      <c r="A306" s="6">
        <v>147</v>
      </c>
      <c r="B306" s="7" t="s">
        <v>469</v>
      </c>
      <c r="C306" s="6" t="s">
        <v>470</v>
      </c>
      <c r="D306" s="8">
        <v>0</v>
      </c>
      <c r="E306" s="8">
        <v>0</v>
      </c>
      <c r="F306" s="8">
        <v>0</v>
      </c>
      <c r="G306" s="8">
        <v>0</v>
      </c>
      <c r="H306" s="8">
        <v>0</v>
      </c>
      <c r="I306" s="8">
        <v>0</v>
      </c>
      <c r="J306" s="8">
        <v>0</v>
      </c>
      <c r="K306" s="8">
        <v>0</v>
      </c>
      <c r="L306" s="8">
        <v>0</v>
      </c>
      <c r="M306" s="8">
        <v>0</v>
      </c>
    </row>
    <row r="307" spans="1:13" ht="30" x14ac:dyDescent="0.2">
      <c r="A307" s="6">
        <v>148</v>
      </c>
      <c r="B307" s="7" t="s">
        <v>472</v>
      </c>
      <c r="C307" s="6" t="s">
        <v>473</v>
      </c>
      <c r="D307" s="8">
        <v>329.9</v>
      </c>
      <c r="E307" s="8">
        <v>256.60000000000002</v>
      </c>
      <c r="F307" s="8">
        <v>351.2</v>
      </c>
      <c r="G307" s="8">
        <v>378.5</v>
      </c>
      <c r="H307" s="8">
        <v>639.70000000000005</v>
      </c>
      <c r="I307" s="8">
        <v>600.79999999999995</v>
      </c>
      <c r="J307" s="8">
        <v>431.4</v>
      </c>
      <c r="K307" s="8">
        <v>1222.7</v>
      </c>
      <c r="L307" s="8">
        <v>1284</v>
      </c>
      <c r="M307" s="8">
        <v>1743</v>
      </c>
    </row>
    <row r="308" spans="1:13" x14ac:dyDescent="0.2">
      <c r="A308" s="6">
        <v>149</v>
      </c>
      <c r="B308" s="7" t="s">
        <v>475</v>
      </c>
      <c r="C308" s="6" t="s">
        <v>476</v>
      </c>
      <c r="D308" s="8">
        <v>516.20000000000005</v>
      </c>
      <c r="E308" s="8">
        <v>501.7</v>
      </c>
      <c r="F308" s="8">
        <v>530.5</v>
      </c>
      <c r="G308" s="8">
        <v>590.5</v>
      </c>
      <c r="H308" s="8">
        <v>640.20000000000005</v>
      </c>
      <c r="I308" s="8">
        <v>783</v>
      </c>
      <c r="J308" s="8">
        <v>778.9</v>
      </c>
      <c r="K308" s="8">
        <v>724.2</v>
      </c>
      <c r="L308" s="8">
        <v>674.8</v>
      </c>
      <c r="M308" s="8">
        <v>623.9</v>
      </c>
    </row>
    <row r="309" spans="1:13" ht="30" x14ac:dyDescent="0.2">
      <c r="A309" s="6">
        <v>150</v>
      </c>
      <c r="B309" s="7" t="s">
        <v>478</v>
      </c>
      <c r="C309" s="6" t="s">
        <v>479</v>
      </c>
      <c r="D309" s="8">
        <v>0</v>
      </c>
      <c r="E309" s="8">
        <v>0</v>
      </c>
      <c r="F309" s="8">
        <v>0</v>
      </c>
      <c r="G309" s="8">
        <v>0</v>
      </c>
      <c r="H309" s="8">
        <v>0</v>
      </c>
      <c r="I309" s="8">
        <v>0</v>
      </c>
      <c r="J309" s="8">
        <v>0</v>
      </c>
      <c r="K309" s="8">
        <v>500</v>
      </c>
      <c r="L309" s="8">
        <v>0</v>
      </c>
      <c r="M309" s="8">
        <v>250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C58"/>
  <sheetViews>
    <sheetView zoomScaleNormal="100" workbookViewId="0"/>
  </sheetViews>
  <sheetFormatPr baseColWidth="10" defaultColWidth="8.6640625" defaultRowHeight="15" customHeight="1" x14ac:dyDescent="0.2"/>
  <cols>
    <col min="1" max="1" width="3" customWidth="1"/>
    <col min="2" max="2" width="32" customWidth="1"/>
    <col min="3" max="3" width="110" customWidth="1"/>
  </cols>
  <sheetData>
    <row r="2" spans="2:3" ht="21" x14ac:dyDescent="0.25">
      <c r="B2" s="1" t="s">
        <v>1112</v>
      </c>
    </row>
    <row r="4" spans="2:3" x14ac:dyDescent="0.2">
      <c r="B4" s="14" t="s">
        <v>1113</v>
      </c>
      <c r="C4" s="7" t="s">
        <v>1114</v>
      </c>
    </row>
    <row r="5" spans="2:3" x14ac:dyDescent="0.2">
      <c r="B5" s="14" t="s">
        <v>1115</v>
      </c>
      <c r="C5" s="7" t="s">
        <v>1116</v>
      </c>
    </row>
    <row r="6" spans="2:3" x14ac:dyDescent="0.2">
      <c r="B6" s="14" t="s">
        <v>1117</v>
      </c>
      <c r="C6" s="7" t="s">
        <v>1118</v>
      </c>
    </row>
    <row r="7" spans="2:3" x14ac:dyDescent="0.2">
      <c r="B7" s="14" t="s">
        <v>1119</v>
      </c>
      <c r="C7" s="7" t="s">
        <v>1120</v>
      </c>
    </row>
    <row r="8" spans="2:3" x14ac:dyDescent="0.2">
      <c r="B8" s="14" t="s">
        <v>1121</v>
      </c>
      <c r="C8" s="7" t="s">
        <v>1122</v>
      </c>
    </row>
    <row r="9" spans="2:3" x14ac:dyDescent="0.2">
      <c r="B9" s="14" t="s">
        <v>1123</v>
      </c>
      <c r="C9" s="7" t="s">
        <v>1124</v>
      </c>
    </row>
    <row r="10" spans="2:3" x14ac:dyDescent="0.2">
      <c r="B10" s="14" t="s">
        <v>1125</v>
      </c>
      <c r="C10" s="7" t="s">
        <v>1126</v>
      </c>
    </row>
    <row r="11" spans="2:3" x14ac:dyDescent="0.2">
      <c r="B11" s="14" t="s">
        <v>1127</v>
      </c>
      <c r="C11" s="7" t="s">
        <v>1128</v>
      </c>
    </row>
    <row r="13" spans="2:3" x14ac:dyDescent="0.2">
      <c r="B13" s="14" t="s">
        <v>1129</v>
      </c>
      <c r="C13" s="7" t="s">
        <v>1130</v>
      </c>
    </row>
    <row r="14" spans="2:3" x14ac:dyDescent="0.2">
      <c r="B14" s="14" t="s">
        <v>1131</v>
      </c>
      <c r="C14" s="7" t="s">
        <v>1132</v>
      </c>
    </row>
    <row r="15" spans="2:3" x14ac:dyDescent="0.2">
      <c r="B15" s="14" t="s">
        <v>1133</v>
      </c>
      <c r="C15" s="7" t="s">
        <v>1134</v>
      </c>
    </row>
    <row r="17" spans="2:3" x14ac:dyDescent="0.2">
      <c r="B17" s="14" t="s">
        <v>1135</v>
      </c>
      <c r="C17" s="7" t="s">
        <v>1136</v>
      </c>
    </row>
    <row r="19" spans="2:3" x14ac:dyDescent="0.2">
      <c r="B19" s="14" t="s">
        <v>1137</v>
      </c>
    </row>
    <row r="20" spans="2:3" x14ac:dyDescent="0.2">
      <c r="B20" s="14" t="s">
        <v>1138</v>
      </c>
      <c r="C20" s="7" t="s">
        <v>1139</v>
      </c>
    </row>
    <row r="21" spans="2:3" x14ac:dyDescent="0.2">
      <c r="B21" s="14" t="s">
        <v>1140</v>
      </c>
      <c r="C21" s="7" t="s">
        <v>1141</v>
      </c>
    </row>
    <row r="22" spans="2:3" x14ac:dyDescent="0.2">
      <c r="B22" s="14" t="s">
        <v>1142</v>
      </c>
      <c r="C22" s="7" t="s">
        <v>1143</v>
      </c>
    </row>
    <row r="23" spans="2:3" x14ac:dyDescent="0.2">
      <c r="B23" s="14" t="s">
        <v>1144</v>
      </c>
      <c r="C23" s="7" t="s">
        <v>1145</v>
      </c>
    </row>
    <row r="24" spans="2:3" x14ac:dyDescent="0.2">
      <c r="B24" s="14" t="s">
        <v>1146</v>
      </c>
      <c r="C24" s="7" t="s">
        <v>1147</v>
      </c>
    </row>
    <row r="25" spans="2:3" x14ac:dyDescent="0.2">
      <c r="B25" s="14" t="s">
        <v>1148</v>
      </c>
      <c r="C25" s="7" t="s">
        <v>1149</v>
      </c>
    </row>
    <row r="26" spans="2:3" x14ac:dyDescent="0.2">
      <c r="B26" s="14" t="s">
        <v>1150</v>
      </c>
      <c r="C26" s="7" t="s">
        <v>1151</v>
      </c>
    </row>
    <row r="27" spans="2:3" x14ac:dyDescent="0.2">
      <c r="B27" s="14" t="s">
        <v>1152</v>
      </c>
      <c r="C27" s="7" t="s">
        <v>1153</v>
      </c>
    </row>
    <row r="28" spans="2:3" x14ac:dyDescent="0.2">
      <c r="B28" s="14" t="s">
        <v>1154</v>
      </c>
      <c r="C28" s="7" t="s">
        <v>1155</v>
      </c>
    </row>
    <row r="29" spans="2:3" ht="30" customHeight="1" x14ac:dyDescent="0.2">
      <c r="B29" s="14" t="s">
        <v>1156</v>
      </c>
      <c r="C29" s="7" t="s">
        <v>1157</v>
      </c>
    </row>
    <row r="31" spans="2:3" ht="16" x14ac:dyDescent="0.2">
      <c r="B31" s="3" t="s">
        <v>1158</v>
      </c>
    </row>
    <row r="32" spans="2:3" ht="30" customHeight="1" x14ac:dyDescent="0.2">
      <c r="B32" s="14" t="s">
        <v>1159</v>
      </c>
      <c r="C32" s="7" t="s">
        <v>1160</v>
      </c>
    </row>
    <row r="33" spans="2:3" x14ac:dyDescent="0.2">
      <c r="B33" s="14" t="s">
        <v>1161</v>
      </c>
      <c r="C33" s="7" t="s">
        <v>1162</v>
      </c>
    </row>
    <row r="34" spans="2:3" x14ac:dyDescent="0.2">
      <c r="B34" s="14" t="s">
        <v>1163</v>
      </c>
      <c r="C34" s="7" t="s">
        <v>1164</v>
      </c>
    </row>
    <row r="35" spans="2:3" x14ac:dyDescent="0.2">
      <c r="B35" s="14" t="s">
        <v>1165</v>
      </c>
      <c r="C35" s="7" t="s">
        <v>1166</v>
      </c>
    </row>
    <row r="36" spans="2:3" x14ac:dyDescent="0.2">
      <c r="B36" s="14" t="s">
        <v>1167</v>
      </c>
      <c r="C36" s="7" t="s">
        <v>1168</v>
      </c>
    </row>
    <row r="37" spans="2:3" x14ac:dyDescent="0.2">
      <c r="B37" s="14" t="s">
        <v>1169</v>
      </c>
      <c r="C37" s="7" t="s">
        <v>1170</v>
      </c>
    </row>
    <row r="38" spans="2:3" x14ac:dyDescent="0.2">
      <c r="B38" s="14" t="s">
        <v>1171</v>
      </c>
      <c r="C38" s="7" t="s">
        <v>1172</v>
      </c>
    </row>
    <row r="39" spans="2:3" x14ac:dyDescent="0.2">
      <c r="B39" s="14" t="s">
        <v>1173</v>
      </c>
      <c r="C39" s="7" t="s">
        <v>1174</v>
      </c>
    </row>
    <row r="40" spans="2:3" ht="30" customHeight="1" x14ac:dyDescent="0.2">
      <c r="B40" s="14" t="s">
        <v>1175</v>
      </c>
      <c r="C40" s="7" t="s">
        <v>1176</v>
      </c>
    </row>
    <row r="42" spans="2:3" x14ac:dyDescent="0.2">
      <c r="B42" s="14" t="s">
        <v>1177</v>
      </c>
      <c r="C42" s="7" t="s">
        <v>1178</v>
      </c>
    </row>
    <row r="43" spans="2:3" x14ac:dyDescent="0.2">
      <c r="B43" s="14" t="s">
        <v>75</v>
      </c>
      <c r="C43" s="7" t="s">
        <v>1179</v>
      </c>
    </row>
    <row r="44" spans="2:3" x14ac:dyDescent="0.2">
      <c r="B44" s="14" t="s">
        <v>29</v>
      </c>
      <c r="C44" s="7" t="s">
        <v>1180</v>
      </c>
    </row>
    <row r="45" spans="2:3" x14ac:dyDescent="0.2">
      <c r="B45" s="14" t="s">
        <v>33</v>
      </c>
      <c r="C45" s="7" t="s">
        <v>1181</v>
      </c>
    </row>
    <row r="46" spans="2:3" x14ac:dyDescent="0.2">
      <c r="B46" s="14" t="s">
        <v>46</v>
      </c>
      <c r="C46" s="7" t="s">
        <v>1182</v>
      </c>
    </row>
    <row r="48" spans="2:3" ht="16" x14ac:dyDescent="0.2">
      <c r="B48" s="3" t="s">
        <v>1183</v>
      </c>
    </row>
    <row r="49" spans="2:3" ht="30" customHeight="1" x14ac:dyDescent="0.2">
      <c r="B49" s="14" t="s">
        <v>1184</v>
      </c>
      <c r="C49" s="7" t="s">
        <v>1185</v>
      </c>
    </row>
    <row r="50" spans="2:3" x14ac:dyDescent="0.2">
      <c r="B50" s="14" t="s">
        <v>1186</v>
      </c>
      <c r="C50" s="7" t="s">
        <v>1187</v>
      </c>
    </row>
    <row r="51" spans="2:3" x14ac:dyDescent="0.2">
      <c r="B51" s="14" t="s">
        <v>1188</v>
      </c>
      <c r="C51" s="7" t="s">
        <v>1189</v>
      </c>
    </row>
    <row r="52" spans="2:3" ht="30" customHeight="1" x14ac:dyDescent="0.2">
      <c r="B52" s="14" t="s">
        <v>1190</v>
      </c>
      <c r="C52" s="7" t="s">
        <v>1191</v>
      </c>
    </row>
    <row r="54" spans="2:3" x14ac:dyDescent="0.2">
      <c r="B54" s="14" t="s">
        <v>1192</v>
      </c>
      <c r="C54" s="7" t="s">
        <v>1193</v>
      </c>
    </row>
    <row r="55" spans="2:3" x14ac:dyDescent="0.2">
      <c r="B55" s="14" t="s">
        <v>1194</v>
      </c>
      <c r="C55" s="7" t="s">
        <v>1195</v>
      </c>
    </row>
    <row r="56" spans="2:3" x14ac:dyDescent="0.2">
      <c r="B56" s="14" t="s">
        <v>1196</v>
      </c>
      <c r="C56" s="7" t="s">
        <v>1197</v>
      </c>
    </row>
    <row r="57" spans="2:3" ht="30" customHeight="1" x14ac:dyDescent="0.2">
      <c r="B57" s="14" t="s">
        <v>1198</v>
      </c>
      <c r="C57" s="7" t="s">
        <v>1199</v>
      </c>
    </row>
    <row r="58" spans="2:3" ht="30" customHeight="1" x14ac:dyDescent="0.2">
      <c r="B58" s="14" t="s">
        <v>1200</v>
      </c>
      <c r="C58" s="7" t="s">
        <v>1201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Investment Thesis</vt:lpstr>
      <vt:lpstr>Revenue History</vt:lpstr>
      <vt:lpstr>Shares Outstanding</vt:lpstr>
      <vt:lpstr>Net Income &amp; Debt</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Lorenzo Lennie</cp:lastModifiedBy>
  <cp:revision>0</cp:revision>
  <dcterms:created xsi:type="dcterms:W3CDTF">2026-06-01T21:31:25Z</dcterms:created>
  <dcterms:modified xsi:type="dcterms:W3CDTF">2026-06-03T15:07:25Z</dcterms:modified>
  <dc:language>en-US</dc:language>
</cp:coreProperties>
</file>