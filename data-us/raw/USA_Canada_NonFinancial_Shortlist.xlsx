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orenzo/Documents/Investments/Investment Data/03.26/USA and Canada/"/>
    </mc:Choice>
  </mc:AlternateContent>
  <xr:revisionPtr revIDLastSave="0" documentId="13_ncr:1_{248E3D9B-E7C0-594C-B527-2A176672ED81}" xr6:coauthVersionLast="47" xr6:coauthVersionMax="47" xr10:uidLastSave="{00000000-0000-0000-0000-000000000000}"/>
  <bookViews>
    <workbookView xWindow="1320" yWindow="880" windowWidth="31580" windowHeight="19500" tabRatio="500" activeTab="1" xr2:uid="{00000000-000D-0000-FFFF-FFFF00000000}"/>
  </bookViews>
  <sheets>
    <sheet name="Overview" sheetId="1" r:id="rId1"/>
    <sheet name="Investment Thesis" sheetId="2" r:id="rId2"/>
    <sheet name="Revenue History" sheetId="3" r:id="rId3"/>
    <sheet name="Shares Outstanding" sheetId="4" r:id="rId4"/>
    <sheet name="Net Income &amp; Debt" sheetId="5" r:id="rId5"/>
    <sheet name="Methodolog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54" i="4" l="1"/>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alcChain>
</file>

<file path=xl/sharedStrings.xml><?xml version="1.0" encoding="utf-8"?>
<sst xmlns="http://schemas.openxmlformats.org/spreadsheetml/2006/main" count="3185" uniqueCount="1205">
  <si>
    <t>USA/Canada Small/Mid-Cap Value Shortlist (15M-1B) — Excluding Financials</t>
  </si>
  <si>
    <t>v6 scoring (power-curve RG + best-lens valuation) — 150 companies from 276-survivor non-financial pool, banks/REITs/insurance/specialty-finance excluded</t>
  </si>
  <si>
    <t>Sheet Index</t>
  </si>
  <si>
    <t>Investment Thesis</t>
  </si>
  <si>
    <t>Revenue History</t>
  </si>
  <si>
    <t>Shares Outstanding</t>
  </si>
  <si>
    <t>Net Income &amp; Debt</t>
  </si>
  <si>
    <t>Methodology</t>
  </si>
  <si>
    <t>#</t>
  </si>
  <si>
    <t>Company</t>
  </si>
  <si>
    <t>Ticker</t>
  </si>
  <si>
    <t>Country</t>
  </si>
  <si>
    <t>Founded</t>
  </si>
  <si>
    <t>Industry</t>
  </si>
  <si>
    <t>Archetype</t>
  </si>
  <si>
    <t>Mkt Cap ($M)</t>
  </si>
  <si>
    <t>Total Equity ($M)</t>
  </si>
  <si>
    <t>P/B (ref)</t>
  </si>
  <si>
    <t>ROE (Recent)</t>
  </si>
  <si>
    <t>Rev Growth</t>
  </si>
  <si>
    <t>Dilution</t>
  </si>
  <si>
    <t>Profit %</t>
  </si>
  <si>
    <t>CFO+ %</t>
  </si>
  <si>
    <t>Gross Margin</t>
  </si>
  <si>
    <t>v6 Score</t>
  </si>
  <si>
    <t>Shutterstock, Inc. (NYSE:SSTK)</t>
  </si>
  <si>
    <t>NYSE:SSTK</t>
  </si>
  <si>
    <t>United States</t>
  </si>
  <si>
    <t>Communication Services / Digital Media — Global platform licensing stock photos, videos, music, vectors, illustrations, and GenAI creative tools</t>
  </si>
  <si>
    <t>Deep Value</t>
  </si>
  <si>
    <t>CRA International, Inc. (NasdaqGS:CRAI)</t>
  </si>
  <si>
    <t>NasdaqGS:CRAI</t>
  </si>
  <si>
    <t>Business Services / Consulting — Global consulting firm providing economic, financial, and strategic advisory services</t>
  </si>
  <si>
    <t>Capital-Efficient</t>
  </si>
  <si>
    <t>MTY Food Group Inc. (TSX:MTY)</t>
  </si>
  <si>
    <t>TSX:MTY</t>
  </si>
  <si>
    <t>Canada</t>
  </si>
  <si>
    <t>Consumer Discretionary / Restaurants — Franchises and operates quick-service and casual dining brands across Canada, the U.S., and international markets</t>
  </si>
  <si>
    <t>Balanced</t>
  </si>
  <si>
    <t>Medifast, Inc. (NYSE:MED)</t>
  </si>
  <si>
    <t>NYSE:MED</t>
  </si>
  <si>
    <t>Healthcare / Wellness Products — Direct-to-consumer metabolic health company selling coach-guided weight management plans and scientifically developed nutrition products</t>
  </si>
  <si>
    <t>Acme United Corporation (NYSEAM:ACU)</t>
  </si>
  <si>
    <t>NYSEAM:ACU</t>
  </si>
  <si>
    <t>Consumer Defensive / Household &amp; Personal Products — Worldwide supplier of first aid, cutting, sharpening, and measuring products for home, office, industrial, and retail markets.</t>
  </si>
  <si>
    <t>Amphastar Pharmaceuticals, Inc. (NasdaqGS:AMPH)</t>
  </si>
  <si>
    <t>NasdaqGS:AMPH</t>
  </si>
  <si>
    <t>Healthcare / Pharmaceuticals — Bio-pharmaceutical company developing and selling injectable, inhalation, intranasal, and insulin API products</t>
  </si>
  <si>
    <t>Canada Goose Holdings Inc. (TSX:GOOS)</t>
  </si>
  <si>
    <t>TSX:GOOS</t>
  </si>
  <si>
    <t>Consumer Discretionary / Apparel — Premium outerwear, apparel, footwear, and accessories for global cold-weather and lifestyle markets</t>
  </si>
  <si>
    <t>Simulations Plus, Inc. (NasdaqGS:SLP)</t>
  </si>
  <si>
    <t>NasdaqGS:SLP</t>
  </si>
  <si>
    <t>Healthcare Services / Drug Development Software — Software and consulting for pharmaceutical modeling, simulation, and clinical development</t>
  </si>
  <si>
    <t>Revenue Compounder</t>
  </si>
  <si>
    <t>Computer Modelling Group Ltd. (TSX:CMG)</t>
  </si>
  <si>
    <t>TSX:CMG</t>
  </si>
  <si>
    <t>Software / IT / SaaS — Reservoir simulation software and consulting for upstream oil and gas and energy-transition operators</t>
  </si>
  <si>
    <t>HealthStream, Inc. (NasdaqGS:HSTM)</t>
  </si>
  <si>
    <t>NasdaqGS:HSTM</t>
  </si>
  <si>
    <t>Healthcare Services / Healthcare IT — SaaS software for healthcare workforce learning, credentialing, scheduling, and clinical development</t>
  </si>
  <si>
    <t>NamSys Inc. (TSXV:CTZ)</t>
  </si>
  <si>
    <t>TSXV:CTZ</t>
  </si>
  <si>
    <t>Software / IT / SaaS — Cloud-based cash management software for banks, merchants, and cash logistics operators</t>
  </si>
  <si>
    <t>Hammond Manufacturing Company Limited (TSX:HMM.A)</t>
  </si>
  <si>
    <t>TSX:HMM.A</t>
  </si>
  <si>
    <t>Industrials / Electrical Equipment — Designs and manufactures electrical enclosures, racks, cabinets, transformers, and related components</t>
  </si>
  <si>
    <t>PrimeEnergy Resources Corporation (NasdaqCM:PNRG)</t>
  </si>
  <si>
    <t>NasdaqCM:PNRG</t>
  </si>
  <si>
    <t>Energy / Oil &amp; Gas E&amp;P — Independent oil and natural gas exploration, development, and production in the United States</t>
  </si>
  <si>
    <t>Oxford Industries, Inc. (NYSE:OXM)</t>
  </si>
  <si>
    <t>NYSE:OXM</t>
  </si>
  <si>
    <t>Consumer Discretionary / Apparel — Branded apparel company designing, sourcing, marketing and distributing lifestyle apparel and accessories</t>
  </si>
  <si>
    <t>Cars.com Inc. (NYSE:CARS)</t>
  </si>
  <si>
    <t>NYSE:CARS</t>
  </si>
  <si>
    <t>Consumer Discretionary / Automotive Retail — Online automotive marketplace connecting consumers with dealers through listings, reviews, and dealer software</t>
  </si>
  <si>
    <t>Immersion Corporation (NasdaqGS:IMMR)</t>
  </si>
  <si>
    <t>NasdaqGS:IMMR</t>
  </si>
  <si>
    <t>Technology / Semiconductors — Licenses haptic touch-feedback software and IP for mobile, gaming, automotive, and medical devices</t>
  </si>
  <si>
    <t>Tripadvisor, Inc. (NasdaqGS:TRIP)</t>
  </si>
  <si>
    <t>NasdaqGS:TRIP</t>
  </si>
  <si>
    <t>Consumer Discretionary / Travel Services — Online travel platform providing hotel, experience, and restaurant discovery, booking, and reviews worldwide</t>
  </si>
  <si>
    <t>Integra LifeSciences Holdings Corporation (NasdaqGS:IART)</t>
  </si>
  <si>
    <t>NasdaqGS:IART</t>
  </si>
  <si>
    <t>Healthcare / Medical Devices — Global medical technology company making neurosurgery, ENT, wound reconstruction, and surgical instrumentation products</t>
  </si>
  <si>
    <t>Upbound Group, Inc. (NasdaqGS:UPBD)</t>
  </si>
  <si>
    <t>NasdaqGS:UPBD</t>
  </si>
  <si>
    <t>Consumer Discretionary / Specialty Retail — Lease-to-own and financial health services for consumers and retailers in the U.S.</t>
  </si>
  <si>
    <t>United-Guardian, Inc. (NasdaqGM:UG)</t>
  </si>
  <si>
    <t>NasdaqGM:UG</t>
  </si>
  <si>
    <t>Materials / Specialty Chemicals — Manufacturer of cosmetic, personal care, medical lubricating, and pharmaceutical ingredients</t>
  </si>
  <si>
    <t>Willis Lease Finance Corporation (NasdaqGM:WLFC)</t>
  </si>
  <si>
    <t>NasdaqGM:WLFC</t>
  </si>
  <si>
    <t>Industrials / Aircraft Leasing — Aircraft engine leasing, maintenance, and related services for airlines worldwide</t>
  </si>
  <si>
    <t>Shoe Carnival, Inc. (NasdaqGS:SCVL)</t>
  </si>
  <si>
    <t>NasdaqGS:SCVL</t>
  </si>
  <si>
    <t>Consumer Discretionary / Footwear Retail — Omnichannel family footwear retailer selling branded shoes, boots, sandals, and accessories in the U.S.</t>
  </si>
  <si>
    <t>BioSyent Inc. (TSXV:RX)</t>
  </si>
  <si>
    <t>TSXV:RX</t>
  </si>
  <si>
    <t>Healthcare / Specialty Pharma — Specialty healthcare company sourcing, licensing, and developing pharmaceutical, oral health, and insecticide products in Canada and select international mar...</t>
  </si>
  <si>
    <t>AMCON Distributing Company (NYSEAM:DIT)</t>
  </si>
  <si>
    <t>NYSEAM:DIT</t>
  </si>
  <si>
    <t>Consumer Discretionary / Food Distribution — Wholesale distributor of tobacco, candy, beverages, groceries, and other convenience-store products</t>
  </si>
  <si>
    <t>Insperity, Inc. (NYSE:NSP)</t>
  </si>
  <si>
    <t>NYSE:NSP</t>
  </si>
  <si>
    <t>Business Services / HR Outsourcing — HR outsourcing and human capital management services for small and midsize U.S. businesses</t>
  </si>
  <si>
    <t>Superior Group of Companies, Inc. (NasdaqGM:SGC)</t>
  </si>
  <si>
    <t>NasdaqGM:SGC</t>
  </si>
  <si>
    <t>Consumer Discretionary / Apparel — Workwear, healthcare apparel, branded product programs, and outsourced customer-service solutions for companies globally</t>
  </si>
  <si>
    <t>Algoma Central Corporation (TSX:ALC)</t>
  </si>
  <si>
    <t>TSX:ALC</t>
  </si>
  <si>
    <t>Industrials / Shipping — Great Lakes and ocean bulk carrier shipping, product tanker transport, and marine vessel management</t>
  </si>
  <si>
    <t>Evolution Petroleum Corporation (NYSEAM:EPM)</t>
  </si>
  <si>
    <t>NYSEAM:EPM</t>
  </si>
  <si>
    <t>Energy / Oil &amp; Gas E&amp;P — Oil and natural gas production in Texas and Wyoming with related asset acquisitions</t>
  </si>
  <si>
    <t>Supremex Inc. (TSX:SXP)</t>
  </si>
  <si>
    <t>TSX:SXP</t>
  </si>
  <si>
    <t>Materials / Packaging — Manufacturer of envelopes and paper-based packaging solutions for North American commercial customers</t>
  </si>
  <si>
    <t>Standard Motor Products, Inc. (NYSE:SMP)</t>
  </si>
  <si>
    <t>NYSE:SMP</t>
  </si>
  <si>
    <t>Consumer Discretionary / Auto Parts — Manufacturer and distributor of premium automotive aftermarket replacement parts and custom-engineered vehicle technologies</t>
  </si>
  <si>
    <t>Crown Crafts, Inc. (NasdaqCM:CRWS)</t>
  </si>
  <si>
    <t>NasdaqCM:CRWS</t>
  </si>
  <si>
    <t>Consumer Discretionary / Apparel — Designs, markets, and distributes infant, toddler, and juvenile consumer products in North America</t>
  </si>
  <si>
    <t>Cipher Pharmaceuticals Inc. (TSX:CPH)</t>
  </si>
  <si>
    <t>TSX:CPH</t>
  </si>
  <si>
    <t>Healthcare / Pharmaceuticals — Specialty pharmaceutical company developing, acquiring, marketing, and distributing prescription products in North America</t>
  </si>
  <si>
    <t>Firan Technology Group Corporation (TSX:FTG)</t>
  </si>
  <si>
    <t>TSX:FTG</t>
  </si>
  <si>
    <t>Industrials / Aerospace &amp; Defense — Aerospace and defense electronics supplier making printed circuit boards and cockpit avionics hardware</t>
  </si>
  <si>
    <t>Vitreous Glass Inc. (TSXV:VCI)</t>
  </si>
  <si>
    <t>TSXV:VCI</t>
  </si>
  <si>
    <t>Materials / Recycling — Waste glass processing and recycling for fiberglass insulation manufacturers in western Canada</t>
  </si>
  <si>
    <t>Cracker Barrel Old Country Store, Inc. (NasdaqGS:CBRL)</t>
  </si>
  <si>
    <t>NasdaqGS:CBRL</t>
  </si>
  <si>
    <t>Consumer Discretionary / Restaurants — Family dining and retail chain selling homestyle meals, gifts, and country-store merchandise across the U.S.</t>
  </si>
  <si>
    <t>Electromed, Inc. (NYSEAM:ELMD)</t>
  </si>
  <si>
    <t>NYSEAM:ELMD</t>
  </si>
  <si>
    <t>Healthcare / Medical Devices — Designs and sells airway clearance therapy systems for patients with chronic lung conditions</t>
  </si>
  <si>
    <t>Forrester Research, Inc. (NasdaqGS:FORR)</t>
  </si>
  <si>
    <t>NasdaqGS:FORR</t>
  </si>
  <si>
    <t>Market Research / Advisory — Global independent research and advisory firm for technology, customer experience, digital, marketing, sales, and product leaders</t>
  </si>
  <si>
    <t>Movado Group, Inc. (NYSE:MOV)</t>
  </si>
  <si>
    <t>NYSE:MOV</t>
  </si>
  <si>
    <t>Consumer Discretionary / Apparel — Designs, sources, and globally distributes watches, jewelry, and accessories under luxury and fashion brands</t>
  </si>
  <si>
    <t>The E.W. Scripps Company (NasdaqGS:SSP)</t>
  </si>
  <si>
    <t>NasdaqGS:SSP</t>
  </si>
  <si>
    <t>Communication Services / Broadcasting — Local television stations, national news, and entertainment networks across U.S. markets</t>
  </si>
  <si>
    <t>Pizza Pizza Royalty Corp. (TSX:PZA)</t>
  </si>
  <si>
    <t>TSX:PZA</t>
  </si>
  <si>
    <t>Consumer Discretionary / Restaurants — Royalty company earning trademark and franchise fees from Pizza Pizza and Pizza 73 restaurants in Canada</t>
  </si>
  <si>
    <t>Designer Brands Inc. (NYSE:DBI)</t>
  </si>
  <si>
    <t>NYSE:DBI</t>
  </si>
  <si>
    <t>Consumer Discretionary / Apparel — Designs, sources, wholesales, and retails footwear and accessories across North America</t>
  </si>
  <si>
    <t>Oil-Dri Corporation of America (NYSE:ODC)</t>
  </si>
  <si>
    <t>NYSE:ODC</t>
  </si>
  <si>
    <t>Materials / Specialty Chemicals — Manufactures sorbent products, cat litter, and purification materials for retail, agricultural, industrial, and automotive markets</t>
  </si>
  <si>
    <t>Gamehost Inc. (TSX:GH)</t>
  </si>
  <si>
    <t>TSX:GH</t>
  </si>
  <si>
    <t>Consumer Discretionary / Casinos &amp; Gaming — Operates casinos, hotels, and food-and-beverage venues across Alberta, Canada</t>
  </si>
  <si>
    <t>Acadian Timber Corp. (TSX:ADN)</t>
  </si>
  <si>
    <t>TSX:ADN</t>
  </si>
  <si>
    <t>Materials / Forestry — Timberland ownership and forest products management in Eastern Canada and the northeastern U.S.</t>
  </si>
  <si>
    <t>Camping World Holdings, Inc. (NYSE:CWH)</t>
  </si>
  <si>
    <t>NYSE:CWH</t>
  </si>
  <si>
    <t>Consumer Discretionary / Specialty Retail — World's largest retailer of RVs and related products and services across U.S. dealerships and service centers</t>
  </si>
  <si>
    <t>Epsilon Energy Ltd. (NasdaqGM:EPSN)</t>
  </si>
  <si>
    <t>NasdaqGM:EPSN</t>
  </si>
  <si>
    <t>Energy / Oil &amp; Gas E&amp;P — Natural gas and crude oil exploration, development, and production in the United States and Canada</t>
  </si>
  <si>
    <t>Apogee Enterprises, Inc. (NasdaqGS:APOG)</t>
  </si>
  <si>
    <t>NasdaqGS:APOG</t>
  </si>
  <si>
    <t>Industrials / Building Products — Leading provider of architectural building products and high-performance coated materials</t>
  </si>
  <si>
    <t>Core Molding Technologies, Inc. (NYSEAM:CMT)</t>
  </si>
  <si>
    <t>NYSEAM:CMT</t>
  </si>
  <si>
    <t>Materials / Plastics — Engineered thermoplastic and thermoset molding for structural parts in truck, powersports, building, utilities, and agricultural markets</t>
  </si>
  <si>
    <t>PHX Energy Services Corp. (TSX:PHX)</t>
  </si>
  <si>
    <t>TSX:PHX</t>
  </si>
  <si>
    <t>Energy / Oil &amp; Gas Services — Directional drilling and drilling optimization services for oil and gas wells in North America</t>
  </si>
  <si>
    <t>North American Construction Group Ltd. (TSX:NOA)</t>
  </si>
  <si>
    <t>TSX:NOA</t>
  </si>
  <si>
    <t>Industrials / Construction — Heavy construction and equipment services for mining, earthworks, reclamation, and project management</t>
  </si>
  <si>
    <t>Universal Logistics Holdings, Inc. (NasdaqGS:ULH)</t>
  </si>
  <si>
    <t>NasdaqGS:ULH</t>
  </si>
  <si>
    <t>Industrials / Logistics — North American transportation, drayage, intermodal, and contract logistics services provider</t>
  </si>
  <si>
    <t>Where Food Comes From, Inc. (NasdaqCM:WFCF)</t>
  </si>
  <si>
    <t>NasdaqCM:WFCF</t>
  </si>
  <si>
    <t>Consumer Services / Food Safety &amp; Traceability — Food traceability and certification services for livestock, poultry, and produce supply chains</t>
  </si>
  <si>
    <t>Marine Products Corporation (NYSE:MPX)</t>
  </si>
  <si>
    <t>NYSE:MPX</t>
  </si>
  <si>
    <t>Consumer Discretionary / Recreational Vehicles — Manufacturer of fiberglass recreational powerboats for freshwater and saltwater markets in the U.S.</t>
  </si>
  <si>
    <t>Spectra Systems Corporation (AIM:SPSY)</t>
  </si>
  <si>
    <t>AIM:SPSY</t>
  </si>
  <si>
    <t>Technology / Software — Hotel management software and cloud booking solutions for hospitality operators</t>
  </si>
  <si>
    <t>Winnebago Industries, Inc. (NYSE:WGO)</t>
  </si>
  <si>
    <t>NYSE:WGO</t>
  </si>
  <si>
    <t>Consumer Discretionary / Recreational Vehicles — Manufactures RVs, campers, and marine boats for North American outdoor recreation markets</t>
  </si>
  <si>
    <t>Andrew Peller Limited (TSX:ADW.A)</t>
  </si>
  <si>
    <t>TSX:ADW.A</t>
  </si>
  <si>
    <t>Consumer Staples / Beverages — Produces and markets wines, spirits, ciders, seltzers, and home winemaking products in Canada.</t>
  </si>
  <si>
    <t>El Pollo Loco Holdings, Inc. (NasdaqGS:LOCO)</t>
  </si>
  <si>
    <t>NasdaqGS:LOCO</t>
  </si>
  <si>
    <t>Consumer Discretionary / Restaurants — Fire-grilled chicken restaurant chain serving Mexican-inspired meals across the U.S. and the Philippines</t>
  </si>
  <si>
    <t>Middlesex Water Company (NasdaqGS:MSEX)</t>
  </si>
  <si>
    <t>NasdaqGS:MSEX</t>
  </si>
  <si>
    <t>Utilities / Water — Regulated water and wastewater utility services in New Jersey and Delaware</t>
  </si>
  <si>
    <t>Kronos Worldwide, Inc. (NYSE:KRO)</t>
  </si>
  <si>
    <t>NYSE:KRO</t>
  </si>
  <si>
    <t>Materials / Chemicals — Global producer and marketer of titanium dioxide pigments for coatings, plastics, paper, inks, pharma, and cosmetics</t>
  </si>
  <si>
    <t>Richards Group Inc. (TSX:RIC)</t>
  </si>
  <si>
    <t>TSX:RIC</t>
  </si>
  <si>
    <t>Consumer Discretionary / Packaging — North American distributor and OEM provider of packaging containers plus healthcare devices and supplies</t>
  </si>
  <si>
    <t>McCoy Global Inc. (TSX:MCB)</t>
  </si>
  <si>
    <t>TSX:MCB</t>
  </si>
  <si>
    <t>Energy / Oil &amp; Gas Equipment &amp; Services — Well construction equipment and digital technologies for tubular running and wellbore integrity</t>
  </si>
  <si>
    <t>MarineMax, Inc. (NYSE:HZO)</t>
  </si>
  <si>
    <t>NYSE:HZO</t>
  </si>
  <si>
    <t>Consumer Discretionary / Specialty Retail — Retailer of new and used boats, yachts, marina services, and boating lifestyle products</t>
  </si>
  <si>
    <t>Citi Trends, Inc. (NasdaqGS:CTRN)</t>
  </si>
  <si>
    <t>NasdaqGS:CTRN</t>
  </si>
  <si>
    <t>Consumer Discretionary / Apparel — Off-price retailer of apparel, accessories and home goods for value-conscious families</t>
  </si>
  <si>
    <t>G-III Apparel Group, Ltd. (NasdaqGS:GIII)</t>
  </si>
  <si>
    <t>NasdaqGS:GIII</t>
  </si>
  <si>
    <t>Consumer Discretionary / Apparel — Designs, sources, and markets licensed and owned apparel, accessories, and retail brands</t>
  </si>
  <si>
    <t>RCI Hospitality Holdings, Inc. (NasdaqGM:RICK)</t>
  </si>
  <si>
    <t>NasdaqGM:RICK</t>
  </si>
  <si>
    <t>Consumer Discretionary / Hospitality — Operates gentlemen's clubs, restaurants, and nightclubs across the United States</t>
  </si>
  <si>
    <t>Angi Inc. (NasdaqGS:ANGI)</t>
  </si>
  <si>
    <t>NasdaqGS:ANGI</t>
  </si>
  <si>
    <t>Communication Services / Internet Content &amp; Information — Online marketplace connecting homeowners with local home-service professionals across U.S. markets</t>
  </si>
  <si>
    <t>Vecima Networks Inc. (TSX:VCM)</t>
  </si>
  <si>
    <t>TSX:VCM</t>
  </si>
  <si>
    <t>Technology / Communications Equipment — Broadband access, video streaming, and content delivery platforms for telecom and cable operators</t>
  </si>
  <si>
    <t>American Woodmark Corporation (NasdaqGS:AMWD)</t>
  </si>
  <si>
    <t>NasdaqGS:AMWD</t>
  </si>
  <si>
    <t>Consumer Discretionary / Homebuilding Products — Manufactures kitchen cabinets, bathroom vanities, and related cabinetry products for U.S. homebuilders and remodelers</t>
  </si>
  <si>
    <t>Pason Systems Inc. (TSX:PSI)</t>
  </si>
  <si>
    <t>TSX:PSI</t>
  </si>
  <si>
    <t>Energy / Oil &amp; Gas Services — Global provider of drilling rig data acquisition, remote communications, and web-based reporting systems</t>
  </si>
  <si>
    <t>Johnson Outdoors Inc. (NasdaqGS:JOUT)</t>
  </si>
  <si>
    <t>NasdaqGS:JOUT</t>
  </si>
  <si>
    <t>Consumer Discretionary / Leisure Products — Designs, manufactures, and markets outdoor recreation equipment for watercraft, fishing, diving, and camping.</t>
  </si>
  <si>
    <t>Escalade, Incorporated (NasdaqGM:ESCA)</t>
  </si>
  <si>
    <t>NasdaqGM:ESCA</t>
  </si>
  <si>
    <t>Consumer Discretionary / Sporting Goods — Manufacturer of consumer sporting goods and recreational products across basketball, archery, table tennis, pickleball, and game-room categories</t>
  </si>
  <si>
    <t>AdvanSix Inc. (NYSE:ASIX)</t>
  </si>
  <si>
    <t>NYSE:ASIX</t>
  </si>
  <si>
    <t>Materials / Chemicals — Vertically integrated chemical manufacturer of plant nutrients, chemical intermediates, and nylon solutions</t>
  </si>
  <si>
    <t>Pollard Banknote Limited (TSX:PBL)</t>
  </si>
  <si>
    <t>TSX:PBL</t>
  </si>
  <si>
    <t>Consumer Discretionary / Gambling — Lottery ticket printing, charitable gaming products, and digital lottery solutions for lotteries worldwide</t>
  </si>
  <si>
    <t>Omega Flex, Inc. (NasdaqGM:OFLX)</t>
  </si>
  <si>
    <t>NasdaqGM:OFLX</t>
  </si>
  <si>
    <t>Industrials / Industrial Components — Manufacturer of flexible metal hoses and gas piping systems for industrial and residential applications</t>
  </si>
  <si>
    <t>CompX International Inc. (NYSEAM:CIX)</t>
  </si>
  <si>
    <t>NYSEAM:CIX</t>
  </si>
  <si>
    <t>Industrials / Security Products — Manufactures security products and marine components for furniture, transportation, marine, and industrial applications</t>
  </si>
  <si>
    <t>Build-A-Bear Workshop, Inc. (NYSE:BBW)</t>
  </si>
  <si>
    <t>NYSE:BBW</t>
  </si>
  <si>
    <t>Consumer Discretionary / Specialty Retail — Global retailtainment brand creating customized plush toys, gifts, and licensed collectibles in stores and online</t>
  </si>
  <si>
    <t>High Liner Foods Incorporated (TSX:HLF)</t>
  </si>
  <si>
    <t>TSX:HLF</t>
  </si>
  <si>
    <t>Consumer Defensive / Packaged Foods — Processes and markets frozen seafood products for retail, club, foodservice, and institutional customers.</t>
  </si>
  <si>
    <t>Genesco Inc. (NYSE:GCO)</t>
  </si>
  <si>
    <t>NYSE:GCO</t>
  </si>
  <si>
    <t>Consumer Discretionary / Apparel — Retailer and wholesaler of footwear and accessories through Journeys, Schuh, Johnston &amp; Murphy, and other banners</t>
  </si>
  <si>
    <t>Flexible Solutions International, Inc. (NYSEAM:FSI)</t>
  </si>
  <si>
    <t>NYSEAM:FSI</t>
  </si>
  <si>
    <t>Materials / Specialty Chemicals — Specialty biodegradable polymers and water-treatment products for agriculture, oil &amp; gas, and cleaning markets</t>
  </si>
  <si>
    <t>Bonterra Energy Corp. (TSX:BNE)</t>
  </si>
  <si>
    <t>TSX:BNE</t>
  </si>
  <si>
    <t>Energy / Oil &amp; Gas E&amp;P — Conventional oil and gas development across Alberta’s Charlie Lake, Montney, and Cardium plays</t>
  </si>
  <si>
    <t>Dynacor Group Inc. (TSX:DNG)</t>
  </si>
  <si>
    <t>TSX:DNG</t>
  </si>
  <si>
    <t>Materials / Mining — Ore-processing company producing gold from artisanal miners in Peru and expanding internationally</t>
  </si>
  <si>
    <t>American Public Education, Inc. (NasdaqGS:APEI)</t>
  </si>
  <si>
    <t>NasdaqGS:APEI</t>
  </si>
  <si>
    <t>Consumer Discretionary / Education Services — Online and campus-based postsecondary education for military, healthcare, and working-adult students across the U.S.</t>
  </si>
  <si>
    <t>Miller Industries, Inc. (NYSE:MLR)</t>
  </si>
  <si>
    <t>NYSE:MLR</t>
  </si>
  <si>
    <t>Industrials / Machinery — Manufacturer of towing and recovery equipment under brands including Century, Vulcan, Chevron, Holmes and others</t>
  </si>
  <si>
    <t>AMN Healthcare Services, Inc. (NYSE:AMN)</t>
  </si>
  <si>
    <t>NYSE:AMN</t>
  </si>
  <si>
    <t>Healthcare Services — Healthcare staffing, workforce solutions, and talent management for U.S. providers</t>
  </si>
  <si>
    <t>Butler National Corporation (OTCPK:BUKS)</t>
  </si>
  <si>
    <t>OTCPK:BUKS</t>
  </si>
  <si>
    <t>Aerospace / Defense / Services — Aerospace and defense systems manufacturing, airport services, and gaming entertainment operations</t>
  </si>
  <si>
    <t>Peoples Ltd. (OTCPK:PPLL)</t>
  </si>
  <si>
    <t>OTCPK:PPLL</t>
  </si>
  <si>
    <t>Unknown / Holding Company — Holding company; public filings and official company information were not reliably located</t>
  </si>
  <si>
    <t>Titan Machinery Inc. (NasdaqGS:TITN)</t>
  </si>
  <si>
    <t>NasdaqGS:TITN</t>
  </si>
  <si>
    <t>Industrials / Agricultural &amp; Construction Equipment — Full-service agricultural and construction equipment dealerships and parts/service network across North America, Europe, and Australia</t>
  </si>
  <si>
    <t>eGain Corporation (NasdaqCM:EGAN)</t>
  </si>
  <si>
    <t>NasdaqCM:EGAN</t>
  </si>
  <si>
    <t>Software / IT / SaaS — AI-powered knowledge management and customer experience automation software for enterprises and government</t>
  </si>
  <si>
    <t>Douglas Dynamics, Inc. (NYSE:PLOW)</t>
  </si>
  <si>
    <t>NYSE:PLOW</t>
  </si>
  <si>
    <t>Industrials / Specialty Equipment — Manufacturer and upfitter of work truck attachments and snow and ice control equipment in North America</t>
  </si>
  <si>
    <t>Energy Recovery, Inc. (NasdaqGS:ERII)</t>
  </si>
  <si>
    <t>NasdaqGS:ERII</t>
  </si>
  <si>
    <t>Industrials / Specialty Machinery — Designs and manufactures pressure exchanger energy-recovery systems for desalination and industrial fluid-processing markets worldwide</t>
  </si>
  <si>
    <t>Dave &amp; Buster's Entertainment, Inc. (NasdaqGS:PLAY)</t>
  </si>
  <si>
    <t>NasdaqGS:PLAY</t>
  </si>
  <si>
    <t>Consumer Discretionary / Leisure — Operates entertainment venues with arcade games, sports viewing, and food-and-drink service</t>
  </si>
  <si>
    <t>Ennis, Inc. (NYSE:EBF)</t>
  </si>
  <si>
    <t>NYSE:EBF</t>
  </si>
  <si>
    <t>Industrials / Commercial Printing — Manufactures and distributes business forms, labels, envelopes, and printed office products.</t>
  </si>
  <si>
    <t>Innovative Aerosystems, Inc. (NasdaqGS:ISSC)</t>
  </si>
  <si>
    <t>NasdaqGS:ISSC</t>
  </si>
  <si>
    <t>Industrials / Aerospace &amp; Defense — Advanced avionics engineering and manufacturing for commercial, business, and military aircraft</t>
  </si>
  <si>
    <t>Flanigan's Enterprises, Inc. (NYSEAM:BDL)</t>
  </si>
  <si>
    <t>NYSEAM:BDL</t>
  </si>
  <si>
    <t>Consumer Discretionary / Restaurants — Operates full-service casual dining restaurants and bars in South Florida</t>
  </si>
  <si>
    <t>Martinrea International Inc. (TSX:MRE)</t>
  </si>
  <si>
    <t>TSX:MRE</t>
  </si>
  <si>
    <t>Automotive / Suppliers — Global automotive supplier designing and manufacturing lightweight structures and propulsion systems</t>
  </si>
  <si>
    <t>Covenant Logistics Group, Inc. (NYSE:CVLG)</t>
  </si>
  <si>
    <t>NYSE:CVLG</t>
  </si>
  <si>
    <t>Industrials / Trucking — Asset-based and non-asset truckload, brokerage, and logistics services across the United States</t>
  </si>
  <si>
    <t>Methode Electronics, Inc. (NYSE:MEI)</t>
  </si>
  <si>
    <t>NYSE:MEI</t>
  </si>
  <si>
    <t>Technology / Electronic Components — Designs and manufactures custom electronic components and systems for transportation, industrial, and medical end markets</t>
  </si>
  <si>
    <t>BioRem Inc. (TSXV:BRM)</t>
  </si>
  <si>
    <t>TSXV:BRM</t>
  </si>
  <si>
    <t>Industrials / Pollution &amp; Treatment Controls — Designs and sells air pollution control systems for odor, VOC, and hazardous air pollutant removal</t>
  </si>
  <si>
    <t>Mullen Group Ltd. (TSX:MTL)</t>
  </si>
  <si>
    <t>TSX:MTL</t>
  </si>
  <si>
    <t>Industrials / Transportation &amp; Logistics — Transportation, warehousing, customs brokerage, and specialized hauling services across North America and western Canada.</t>
  </si>
  <si>
    <t>George Risk Industries, Inc. (OTCPK:RSKI.A)</t>
  </si>
  <si>
    <t>OTCPK:RSKI.A</t>
  </si>
  <si>
    <t>Industrials / Security Equipment — Manufacturer of electronic security and access-control devices for commercial and residential markets</t>
  </si>
  <si>
    <t>Cascades Inc. (TSX:CAS)</t>
  </si>
  <si>
    <t>TSX:CAS</t>
  </si>
  <si>
    <t>Materials / Packaging — Sustainable packaging, tissue, and recycled-fibre recovery products across North America</t>
  </si>
  <si>
    <t>Cogeco Inc. (TSX:CGO)</t>
  </si>
  <si>
    <t>TSX:CGO</t>
  </si>
  <si>
    <t>Telecommunications / Media — North American telecommunications and media provider offering internet, wireless, video, wireline phone, and radio services</t>
  </si>
  <si>
    <t>Zumiez Inc. (NasdaqGS:ZUMZ)</t>
  </si>
  <si>
    <t>NasdaqGS:ZUMZ</t>
  </si>
  <si>
    <t>Consumer Discretionary / Apparel — Specialty retailer of action sports apparel, footwear, equipment, and accessories</t>
  </si>
  <si>
    <t>Sono-Tek Corporation (NasdaqCM:SOTK)</t>
  </si>
  <si>
    <t>NasdaqCM:SOTK</t>
  </si>
  <si>
    <t>Industrials / Industrial Machinery — Designs and manufactures ultrasonic coating systems for medical, semiconductor, industrial, and energy applications</t>
  </si>
  <si>
    <t>Lassonde Industries Inc. (TSX:LAS.A)</t>
  </si>
  <si>
    <t>TSX:LAS.A</t>
  </si>
  <si>
    <t>Consumer Staples / Food Products — North American manufacturer and marketer of juices, beverages, sauces, soups, and private-label food products</t>
  </si>
  <si>
    <t>Mercer International Inc. (NasdaqGS:MERC)</t>
  </si>
  <si>
    <t>NasdaqGS:MERC</t>
  </si>
  <si>
    <t>Materials / Paper &amp; Forest Products — Northern bleached softwood kraft pulp and specialty cellulose production, with bioenergy and sawmill operations</t>
  </si>
  <si>
    <t>Pulse Seismic Inc. (TSX:PSD)</t>
  </si>
  <si>
    <t>TSX:PSD</t>
  </si>
  <si>
    <t>Energy / Oil &amp; Gas Equipment &amp; Services — Provider of 2D and 3D seismic data acquisition, licensing, and project services in western Canada</t>
  </si>
  <si>
    <t>Vishay Precision Group, Inc. (NYSE:VPG)</t>
  </si>
  <si>
    <t>NYSE:VPG</t>
  </si>
  <si>
    <t>Technology / Precision Measurement — Precision measurement sensing technologies for force, strain, and weight applications worldwide</t>
  </si>
  <si>
    <t>SWK Holdings Corporation (NasdaqGM:SWKH)</t>
  </si>
  <si>
    <t>NasdaqGM:SWKH</t>
  </si>
  <si>
    <t>Industrials / Engineering &amp; Construction — Building systems solutions for mechanical, electrical, plumbing, and controls infrastructure</t>
  </si>
  <si>
    <t>Star Group, L.P. (NYSE:SGU)</t>
  </si>
  <si>
    <t>NYSE:SGU</t>
  </si>
  <si>
    <t>Energy / Oil &amp; Gas Distribution — Wholesale and retail distribution of heating oil, propane, and HVAC services in the U.S. Northeast</t>
  </si>
  <si>
    <t>Stepan Company (NYSE:SCL)</t>
  </si>
  <si>
    <t>NYSE:SCL</t>
  </si>
  <si>
    <t>Materials / Specialty Chemicals — Manufactures surfactants, polyurethane polyols, and specialty chemicals for consumer, industrial, and agricultural markets</t>
  </si>
  <si>
    <t>Village Super Market, Inc. (NasdaqGS:VLGE.A)</t>
  </si>
  <si>
    <t>NasdaqGS:VLGE.A</t>
  </si>
  <si>
    <t>Consumer Staples / Grocery Retail — Supermarket operator running retail grocery stores in the northeastern United States</t>
  </si>
  <si>
    <t>ADF Group Inc. (TSX:DRX)</t>
  </si>
  <si>
    <t>TSX:DRX</t>
  </si>
  <si>
    <t>Materials / Construction Materials — North American fabrication and installation of complex steel superstructures for non-residential infrastructure projects</t>
  </si>
  <si>
    <t>Varex Imaging Corporation (NasdaqGS:VREX)</t>
  </si>
  <si>
    <t>NasdaqGS:VREX</t>
  </si>
  <si>
    <t>Healthcare Equipment — X-ray imaging components and systems for medical, industrial, and security applications</t>
  </si>
  <si>
    <t>OneSpan Inc. (NasdaqCM:OSPN)</t>
  </si>
  <si>
    <t>NasdaqCM:OSPN</t>
  </si>
  <si>
    <t>Software / IT / Cybersecurity — Digital agreements, authentication, and cybersecurity software for regulated enterprises and financial institutions</t>
  </si>
  <si>
    <t>Friedman Industries, Incorporated (NasdaqGS:FRD)</t>
  </si>
  <si>
    <t>NasdaqGS:FRD</t>
  </si>
  <si>
    <t>Materials / Steel — Steel coil processing and tubular pipe manufacturing for industrial customers</t>
  </si>
  <si>
    <t>Vaso Corporation (OTCPK:VASO)</t>
  </si>
  <si>
    <t>OTCPK:VASO</t>
  </si>
  <si>
    <t>Healthcare Services / Medical Devices — Medical technology, endoscopy, diagnostic imaging, and outsourced telemedicine services for hospitals and clinics</t>
  </si>
  <si>
    <t>Wajax Corporation (TSX:WJX)</t>
  </si>
  <si>
    <t>TSX:WJX</t>
  </si>
  <si>
    <t>Industrials / Industrial Distribution — Canadian distributor of industrial equipment, parts, and repair services across construction, mining, forestry, and oil sands</t>
  </si>
  <si>
    <t>Daily Journal Corporation (NasdaqCM:DJCO)</t>
  </si>
  <si>
    <t>NasdaqCM:DJCO</t>
  </si>
  <si>
    <t>Media / Legal Publishing — Legal newspaper and software publisher serving California courts and law firms</t>
  </si>
  <si>
    <t>Somero Enterprises, Inc. (AIM:SOM)</t>
  </si>
  <si>
    <t>AIM:SOM</t>
  </si>
  <si>
    <t>Industrials / Construction Equipment — Laser-guided concrete placement and leveling equipment with training and support for flatwork contractors worldwide</t>
  </si>
  <si>
    <t>Kewaunee Scientific Corporation (NasdaqGM:KEQU)</t>
  </si>
  <si>
    <t>NasdaqGM:KEQU</t>
  </si>
  <si>
    <t>Industrials / Laboratory Equipment — Manufactures laboratory furniture and scientific equipment for research, education, petrochemical, and government labs worldwide</t>
  </si>
  <si>
    <t>SCI Engineered Materials, Inc. (OTCPK:SCIA)</t>
  </si>
  <si>
    <t>OTCPK:SCIA</t>
  </si>
  <si>
    <t>Materials / Advanced Materials — Advanced PVD materials, sputtering targets, and ceramic powders for thin-film and photovoltaic applications</t>
  </si>
  <si>
    <t>BlueLinx Holdings Inc. (NYSE:BXC)</t>
  </si>
  <si>
    <t>NYSE:BXC</t>
  </si>
  <si>
    <t>Industrials / Building Products — Wholesale distributor of residential and commercial building products across the U.S.</t>
  </si>
  <si>
    <t>Alpha Pro Tech, Ltd. (NYSEAM:APT)</t>
  </si>
  <si>
    <t>NYSEAM:APT</t>
  </si>
  <si>
    <t>Healthcare Products / Medical Supplies — Disposable protective apparel and construction weatherization products for industrial, medical, dental and roofing markets</t>
  </si>
  <si>
    <t>Climb Global Solutions, Inc. (NasdaqGM:CLMB)</t>
  </si>
  <si>
    <t>NasdaqGM:CLMB</t>
  </si>
  <si>
    <t>Technology Distribution / IT Services — Specialty IT distributor of cloud and data center software across North America and Western Europe</t>
  </si>
  <si>
    <t>inTEST Corporation (NYSEAM:INTT)</t>
  </si>
  <si>
    <t>NYSEAM:INTT</t>
  </si>
  <si>
    <t>Technology / Semiconductor Equipment — Test and process equipment for semiconductor, automotive, and industrial manufacturing applications</t>
  </si>
  <si>
    <t>Carriage Services, Inc. (NYSE:CSV)</t>
  </si>
  <si>
    <t>NYSE:CSV</t>
  </si>
  <si>
    <t>Consumer Discretionary / Funeral Services — Provides funeral home and cemetery services, supporting families across the United States</t>
  </si>
  <si>
    <t>Corby Spirit and Wine Limited (TSX:CSW.A)</t>
  </si>
  <si>
    <t>TSX:CSW.A</t>
  </si>
  <si>
    <t>Consumer Staples / Alcoholic Beverages — Canadian marketer and distributor of spirits and wines, with owned and represented brands sold domestically and abroad</t>
  </si>
  <si>
    <t>Canlan Ice Sports Corp. (TSX:ICE)</t>
  </si>
  <si>
    <t>TSX:ICE</t>
  </si>
  <si>
    <t>Consumer Discretionary / Leisure — Owner and operator of multi-purpose recreation facilities offering ice, turf, court, and hockey programming</t>
  </si>
  <si>
    <t>CreditRiskMonitor.com, Inc. (OTCPK:CRMZ)</t>
  </si>
  <si>
    <t>OTCPK:CRMZ</t>
  </si>
  <si>
    <t>Software / IT / SaaS — Web-based SaaS for commercial credit reports, bankruptcy risk analytics, and supply-chain counterparty monitoring</t>
  </si>
  <si>
    <t>Genie Energy Ltd. (NYSE:GNE)</t>
  </si>
  <si>
    <t>NYSE:GNE</t>
  </si>
  <si>
    <t>Utilities / Independent Power Producers — Retail provider of electricity, natural gas, and community and onsite solar solutions in U.S. deregulated markets</t>
  </si>
  <si>
    <t>The Reserve Petroleum Company (OTCPK:RSRV)</t>
  </si>
  <si>
    <t>OTCPK:RSRV</t>
  </si>
  <si>
    <t>Energy / Oil &amp; Gas E&amp;P — Independent oil and gas exploration and production with mineral and royalty interests in the United States</t>
  </si>
  <si>
    <t>Entravision Communications Corporation (NYSE:EVC)</t>
  </si>
  <si>
    <t>NYSE:EVC</t>
  </si>
  <si>
    <t>Communication Services / Broadcasting — Media and advertising technology company operating U.S. Spanish-language TV and radio stations plus global programmatic ad services</t>
  </si>
  <si>
    <t>Barrett Business Services, Inc. (NasdaqGS:BBSI)</t>
  </si>
  <si>
    <t>NasdaqGS:BBSI</t>
  </si>
  <si>
    <t>Industrials / Staffing &amp; Outsourcing — Professional employer organization providing payroll, HR, benefits, risk, staffing, and business consulting for U.S. businesses</t>
  </si>
  <si>
    <t>Enghouse Systems Limited (TSX:ENGH)</t>
  </si>
  <si>
    <t>TSX:ENGH</t>
  </si>
  <si>
    <t>Software / IT / SaaS — Canadian software company providing enterprise solutions for contact centers, video, networks, and public safety</t>
  </si>
  <si>
    <t>Caleres, Inc. (NYSE:CAL)</t>
  </si>
  <si>
    <t>NYSE:CAL</t>
  </si>
  <si>
    <t>Consumer Discretionary / Footwear — Global footwear company designing, sourcing, and selling shoes through branded retail and wholesale channels</t>
  </si>
  <si>
    <t>Kforce Inc. (NYSE:KFRC)</t>
  </si>
  <si>
    <t>NYSE:KFRC</t>
  </si>
  <si>
    <t>Business Services / Staffing — Professional staffing and solutions services for technology and finance &amp; accounting teams nationwide</t>
  </si>
  <si>
    <t>XPEL, Inc. (NasdaqCM:XPEL)</t>
  </si>
  <si>
    <t>NasdaqCM:XPEL</t>
  </si>
  <si>
    <t>Materials / Specialty Chemicals — Automotive and architectural paint protection film, window film, and coatings for vehicle and building surfaces</t>
  </si>
  <si>
    <t>FitLife Brands, Inc. (NasdaqCM:FTLF)</t>
  </si>
  <si>
    <t>NasdaqCM:FTLF</t>
  </si>
  <si>
    <t>Consumer Discretionary / Nutritional Supplements — Produces and sells branded nutritional supplements and wellness products through retail, wholesale, and e-commerce channels</t>
  </si>
  <si>
    <t>Natural Grocers by Vitamin Cottage, Inc. (NYSE:NGVC)</t>
  </si>
  <si>
    <t>NYSE:NGVC</t>
  </si>
  <si>
    <t>Consumer Staples / Grocery Stores — Specialty organic and natural grocery retail stores selling food, supplements, and health products</t>
  </si>
  <si>
    <t>AirBoss of America Corp. (TSX:BOS)</t>
  </si>
  <si>
    <t>TSX:BOS</t>
  </si>
  <si>
    <t>Industrials / Specialty Chemicals — North American rubber compounding, anti-vibration components, and defense PPE manufacturing</t>
  </si>
  <si>
    <t>The Hackett Group, Inc. (NasdaqGS:HCKT)</t>
  </si>
  <si>
    <t>NasdaqGS:HCKT</t>
  </si>
  <si>
    <t>Business Services / Consulting — Global benchmarking, digital transformation, and enterprise consulting for finance, supply chain, and HR functions</t>
  </si>
  <si>
    <t>Trican Well Service Ltd. (TSX:TCW)</t>
  </si>
  <si>
    <t>TSX:TCW</t>
  </si>
  <si>
    <t>Energy / Oil &amp; Gas Services — Oilfield services provider supplying fracturing, cementing, coiled tubing, nitrogen, and chemical solutions in Western Canada</t>
  </si>
  <si>
    <t>Insteel Industries Inc. (NYSE:IIIN)</t>
  </si>
  <si>
    <t>NYSE:IIIN</t>
  </si>
  <si>
    <t>Industrials / Construction Materials — Steel wire reinforcing products for concrete construction, including prestressed strand and welded wire reinforcement</t>
  </si>
  <si>
    <t>Sinclair, Inc. (NasdaqGS:SBGI)</t>
  </si>
  <si>
    <t>NasdaqGS:SBGI</t>
  </si>
  <si>
    <t>Communication Services / Broadcasting — Television broadcasting and local news production across U.S. markets with digital media and sports content</t>
  </si>
  <si>
    <t>Nobility Homes, Inc. (OTCPK:NOBH)</t>
  </si>
  <si>
    <t>OTCPK:NOBH</t>
  </si>
  <si>
    <t>Consumer Discretionary / Homebuilding — Manufactures and sells manufactured homes and related housing products in Florida and the southeastern United States</t>
  </si>
  <si>
    <t>Pure Cycle Corporation (NasdaqCM:PCYO)</t>
  </si>
  <si>
    <t>NasdaqCM:PCYO</t>
  </si>
  <si>
    <t>Utilities / Water Supply — Water utility serving customers and developing water and wastewater resources in Colorado</t>
  </si>
  <si>
    <t>Koppers Holdings Inc. (NYSE:KOP)</t>
  </si>
  <si>
    <t>NYSE:KOP</t>
  </si>
  <si>
    <t>Materials / Chemicals — Treats wood and supplies carbon compounds, railroad products, and utility poles for industrial markets</t>
  </si>
  <si>
    <t>The Monarch Cement Company (OTCPK:MCEM)</t>
  </si>
  <si>
    <t>OTCPK:MCEM</t>
  </si>
  <si>
    <t>Materials / Construction Materials — Cement manufacturing for Midwest customers</t>
  </si>
  <si>
    <t>Cass Information Systems, Inc. (NasdaqGS:CASS)</t>
  </si>
  <si>
    <t>NasdaqGS:CASS</t>
  </si>
  <si>
    <t>Industrials / Business Services — Payment processing and freight audit services for transportation, utilities, telecom and other enterprises</t>
  </si>
  <si>
    <t>Investment Thesis — Qualitative Research Summary</t>
  </si>
  <si>
    <t>Business Description</t>
  </si>
  <si>
    <t>Competitive Position</t>
  </si>
  <si>
    <t>Main Shareholders</t>
  </si>
  <si>
    <t>Red Flags</t>
  </si>
  <si>
    <t>Website</t>
  </si>
  <si>
    <t>Global platform licensing stock photos, videos, music, vectors, illustrations, and GenAI creative tools</t>
  </si>
  <si>
    <t>Shutterstock positions itself as a diversified creative platform, describing the business as “a family of brands delivering scalable creative and GenAI solutions” that helps customers produce commercial content; that niche overlaps with Adobe Stock and Getty Images, but Shutterstock has increasingly leaned into licensed content plus AI-enabled workflows to differentiate its offering. [Shutterstock Investor Relations](https://investor.shutterstock.com/news-events/press-releases)</t>
  </si>
  <si>
    <t>Not disclosed in public filings</t>
  </si>
  <si>
    <t>The company faces meaningful competition from larger content and creative software ecosystems, and its filings emphasize ongoing pressure from AI/content licensing transitions and the need to invest in GenAI offerings. I could not verify a clean top-holder table from the company’s public materials available here, so ownership concentration and control should be checked in the latest proxy and 13D/13G filings. [Shutterstock Investor Relations](https://investor.shutterstock.com/news-events/press-releases), [Shutterstock SEC Filings](https://investor.shutterstock.com/financial-information/sec-filings)</t>
  </si>
  <si>
    <t>https://www.shutterstock.com</t>
  </si>
  <si>
    <t>Global consulting firm providing economic, financial, and strategic advisory services</t>
  </si>
  <si>
    <t>CRA International is a niche, senior-led consulting firm focused on economic litigation, management consulting, and expert advisory work for law firms, corporations, accounting firms, and governments. Its website describes it as a leading global consulting firm with analytics-driven, fact-based expertise, competing in specialized advisory and litigation-economics work rather than broad generalist consulting ([CRA About](https://www.crai.com/about/)).</t>
  </si>
  <si>
    <t>None identified from official sources. The most recent SEC filing used here is a Form 8-K, not a proxy statement, and it did not disclose ownership concerns or material governance issues; no 5% beneficial owners were found in the filing text reviewed ([SEC 8-K](https://www.sec.gov/Archives/edgar/data/1053706/000105370626000013/crai-20260507.htm)).</t>
  </si>
  <si>
    <t>https://www.crai.com/</t>
  </si>
  <si>
    <t>Franchises and operates quick-service and casual dining brands across Canada, the U.S., and international markets</t>
  </si>
  <si>
    <t>MTY Food Group is a multi-brand franchisor and operator with a large portfolio of restaurant concepts spanning quick-service, casual dining, and frozen dessert channels, which gives it scale and diversification across concepts and geographies. Its niche is owning and acquiring many smaller banners rather than competing as a single flagship brand, putting it in a broader competitive set against franchisors and multi-brand restaurant platforms such as Restaurant Brands International and other concept aggregators.</t>
  </si>
  <si>
    <t>None identified from official sources.</t>
  </si>
  <si>
    <t>https://www.mtyfoodgroup.com</t>
  </si>
  <si>
    <t>Direct-to-consumer metabolic health company selling coach-guided weight management plans and scientifically developed nutrition products</t>
  </si>
  <si>
    <t>Medifast is a niche metabolic health and wellness company built around its coach-guided OPTAVIA system, with science-backed products, personalized plans, and a network of independent coaches. Its positioning is differentiated by that direct-to-consumer, coach-led model, but the company itself says it faces competition from GLP-1 weight-loss medications and other weight-loss products/services, and it is trying to pivot toward metabolic health. ([Medifast IR](https://ir.medifastinc.com/news/news-details/2026/Medifast-Announces-First-Quarter-2026-Financial-Results/default.aspx), [Medifast homepage](https://www.medifastinc.com/))</t>
  </si>
  <si>
    <t>Renaissance Technologies LLC / Renaissance Technologies Holdings Corporation (6.96%); Khosla Ventures Opportunity I, LP (3.1%); VK Services, LLC / Vinod Khosla (4.0% as reported in the filing text, but the 13G indicates the holder group remains below 5% after the May 2026 share count update). ([SEC 13G/A](https://www.sec.gov/Archives/edgar/data/910329/000103738926000039/0001037389-26-000039.txt))</t>
  </si>
  <si>
    <t>Medifast reported a 34.3% year-over-year revenue decline in Q1 2026, with active earning coaches down 44.9%, showing heavy dependence on the coach network and weak client acquisition. Official risk disclosures also highlight GLP-1 competition, the challenge of maintaining and growing coaches, direct-to-consumer and supply-chain risks, product liability, regulatory exposure, and the possibility of internal control failures. ([Medifast IR](https://ir.medifastinc.com/news/news-details/2026/Medifast-Announces-First-Quarter-2026-Financial-Results/default.aspx), [SEC 10-Q/8-K](https://www.sec.gov/Archives/edgar/data/910329/000162828026029812/med-20260504.htm))</t>
  </si>
  <si>
    <t>https://www.medifastinc.com/</t>
  </si>
  <si>
    <t>Worldwide supplier of first aid, cutting, sharpening, and measuring products for home, office, industrial, and retail markets.</t>
  </si>
  <si>
    <t>Acme United is a niche branded supplier of cutting, measuring, first aid, and sharpening products, with a broad portfolio sold through school, home, office, hardware, sporting goods, and industrial channels. Its position is anchored by established brands such as First Aid Only, Westcott, Clauss, and DMT, which compete in fragmented categories rather than against a single dominant rival ([Acme United About Us](https://acmeunited.com/company/about/)).</t>
  </si>
  <si>
    <t>No material red flags were identified from the official sources reviewed. The latest filing index available in the public SEC materials was a 10-Q, which did not include a shareholder ownership table or specific risk-factor excerpts in the retrieved content ([SEC filing index](https://www.sec.gov/Archives/edgar/data/2098/000119312526209010/0001193125-26-209010-index.htm), [SEC filing text](https://www.sec.gov/Archives/edgar/data/2098/000119312526209010/0001193125-26-209010.txt)).</t>
  </si>
  <si>
    <t>https://acmeunited.com</t>
  </si>
  <si>
    <t>Bio-pharmaceutical company developing and selling injectable, inhalation, intranasal, and insulin API products</t>
  </si>
  <si>
    <t>Amphastar is a specialty pharmaceutical company focused on complex injectable products, with a portfolio that includes epinephrine, naloxone, and other hospital and emergency-care medicines; its position appears to be built on difficult-to-manufacture generics and proprietary products rather than broad scale. The company competes with other generic injectable and specialty drug makers, and its niche is reflected in the mix of products and filings on its investor relations and SEC pages ([Amphastar IR](https://ir.amphastar.com), [SEC filing index](https://www.sec.gov/Archives/edgar/data/1297184/000129718426000033/0001297184-26-000033-index.html)).</t>
  </si>
  <si>
    <t>Amphastar’s filings show ongoing reliance on a concentrated set of complex injectable products and exposure to regulatory/manufacturing execution risk typical of sterile pharmaceuticals. I did not identify a specific public filing issue from the official sources reviewed, but the company’s filings emphasize that product quality, FDA compliance, and supply continuity are material risks ([Amphastar IR](https://ir.amphastar.com), [SEC filing index](https://www.sec.gov/Archives/edgar/data/1297184/000129718426000033/0001297184-26-000033-index.html)).</t>
  </si>
  <si>
    <t>https://ir.amphastar.com</t>
  </si>
  <si>
    <t>Premium outerwear, apparel, footwear, and accessories for global cold-weather and lifestyle markets</t>
  </si>
  <si>
    <t>Canada Goose is a global performance-luxury outerwear brand with a strong niche in premium cold-weather apparel, leveraging Canadian heritage, technical craftsmanship, and year-round expansion into apparel, footwear, and accessories. Management says revenue growth was supported by stronger DTC conversion, improved wholesale performance, and momentum across an expanded product offering, positioning it against premium outerwear competitors such as Moncler and The North Face in the high-end functional apparel market ([Canada Goose Investor Relations](https://investor.canadagoose.com/), [Canada Goose FY2026 Results](https://investor.canadagoose.com/news/news-details/2026/Canada-Goose-Reports-Fourth-Quarter-and-Full-Year-Fiscal-2026-Results/default.aspx)).</t>
  </si>
  <si>
    <t>The company disclosed an $8.4 million store impairment tied to underperforming locations, and its outlook highlights softer consumer demand, travel weakness, raw-material inflation, supply-chain cost pressure, and unchanged tariff assumptions. It also notes broad forward-looking uncertainty in a highly competitive and rapidly changing environment ([Canada Goose FY2026 Results](https://investor.canadagoose.com/news/news-details/2026/Canada-Goose-Reports-Fourth-Quarter-and-Full-Year-Fiscal-2026-Results/default.aspx)).</t>
  </si>
  <si>
    <t>https://investor.canadagoose.com/</t>
  </si>
  <si>
    <t>Software and consulting for pharmaceutical modeling, simulation, and clinical development</t>
  </si>
  <si>
    <t>Simulations Plus is a niche life-sciences software and services company focused on physiologically based pharmacokinetic/biopharmaceutics modeling and cheminformatics, which the company says supports drug discovery and development workflows. Its position appears specialized rather than broad-based, competing in a small category against other scientific software and CRO/software vendors rather than general-purpose software firms. ([Simulations Plus investor relations](https://www.simulations-plus.com/investors/))</t>
  </si>
  <si>
    <t>The company’s own risk disclosures emphasize dependence on a relatively small set of specialized products and customers, plus the usual risks of software/IP, integration and acquisition execution, and market concentration in regulated pharma R&amp;D budgets. None identified from official sources beyond these standard filing risks. ([Simulations Plus investor relations](https://www.simulations-plus.com/investors/))</t>
  </si>
  <si>
    <t>https://www.simulations-plus.com</t>
  </si>
  <si>
    <t>Reservoir simulation software and consulting for upstream oil and gas and energy-transition operators</t>
  </si>
  <si>
    <t>CMG is a niche global provider of reservoir simulation and subsurface software/services for the energy sector, positioning itself around complex recovery, CO₂ storage, geothermal, and related workflows rather than broad enterprise software. Its official materials emphasize simulation technology for reservoir recovery methods and deep industry expertise, with competitors implied by the category being other reservoir-simulation vendors such as SLB’s software businesses and competing subsurface specialists.</t>
  </si>
  <si>
    <t>CMG flags execution risk from its ongoing shift toward higher software revenue, with management noting a professional-services revenue headwind in fiscal 2027 and negative organic recurring-revenue growth in the first quarter. The company also highlights active acquisition activity and dependence on global energy-industry spending, which can add integration and demand risk.</t>
  </si>
  <si>
    <t>https://www.cmgl.ca/</t>
  </si>
  <si>
    <t>SaaS software for healthcare workforce learning, credentialing, scheduling, and clinical development</t>
  </si>
  <si>
    <t>HealthStream is a healthcare workforce software vendor whose platform spans learning, credentialing, scheduling, quality/compliance, revenue cycle, and resuscitation tools; its website says over 5,000 healthcare organizations use it and positions its learning product as healthcare’s “#1 learning platform.” ([HealthStream](https://www.healthstream.com), [HealthStream IR](https://ir.healthstream.com))</t>
  </si>
  <si>
    <t>BlackRock (10.6%), Donald Smith &amp; Co. (9.2%), T. Rowe Price Investment Management (7.0%); Vanguard Portfolio Management also reported at 5.2% in the proxy. ([HealthStream 2026 DEF 14A](https://www.sec.gov/Archives/edgar/data/1324759/000149315226021954/0001493152-26-021954-index.html))</t>
  </si>
  <si>
    <t>The company depends heavily on healthcare providers and related workforce-buying cycles, and its filings and product positioning emphasize compliance, staffing, and revenue-cycle execution risks. None identified from official sources beyond ordinary business risks disclosed in the 10-K. ([HealthStream 2026 Form 10-K filing index](https://www.sec.gov/Archives/edgar/data/1324759/000149315226021954/0001493152-26-021954-index.html), [HealthStream](https://www.healthstream.com))</t>
  </si>
  <si>
    <t>https://www.healthstream.com</t>
  </si>
  <si>
    <t>Cloud-based cash management software for banks, merchants, and cash logistics operators</t>
  </si>
  <si>
    <t>NamSys is a niche provider of cloud-based cash processing and logistics software aimed at banks, financial institutions, armored carriers, and the cash-in-transit (CIT) industry, which makes it a specialized vendor rather than a broad fintech platform ([NamSys](https://www.namsys.com)). Its positioning appears to hinge on industry-specific workflows such as cash management, smart safe monitoring, and operational efficiency rather than competing head-on with large core banking or enterprise software vendors ([NamSys](https://www.namsys.com)).</t>
  </si>
  <si>
    <t>No material red flags were identified from the official website content reviewed; however, the company is highly concentrated in a narrow cash-processing/CIT niche, which can make it dependent on a limited customer set and industry cycle ([NamSys](https://www.namsys.com)).</t>
  </si>
  <si>
    <t>https://www.namsys.com</t>
  </si>
  <si>
    <t>Designs and manufactures electrical enclosures, racks, cabinets, transformers, and related components</t>
  </si>
  <si>
    <t>Hammond Manufacturing is a niche industrial manufacturer of electrical and electronic enclosures, racks, cabinets, transformers, and related power-quality products sold through a broad catalog and custom-build capability. Its position appears to come from being a long-established specialist serving OEM, industrial, utility, and data/network infrastructure customers rather than competing as a broadline commodity manufacturer; I could not verify competitor or market-share claims from the official filings I was able to access.</t>
  </si>
  <si>
    <t>https://www.hammondmfg.com</t>
  </si>
  <si>
    <t>Independent oil and natural gas exploration, development, and production in the United States</t>
  </si>
  <si>
    <t>PrimeEnergy Resources Corporation is a small independent oil and natural gas producer and oilfield-services operator concentrated primarily in Texas, with its own producing assets and service operations rather than a diversified multi-basin platform. Nasdaq’s company profile describes it as an independent oil and natural gas company engaged in acquiring, developing, and producing hydrocarbons and providing oilfield services, primarily in Texas ([Nasdaq](https://www.nasdaq.com/press-release/primeenergy-resources-corporation-reports-first-quarter-2026-results-generates-strong)).</t>
  </si>
  <si>
    <t>The business is highly exposed to commodity-price volatility and to concentration in a single region/commodity complex (Texas oil and gas), which can amplify operational and reserve-risk swings ([Nasdaq](https://www.nasdaq.com/press-release/primeenergy-resources-corporation-reports-first-quarter-2026-results-generates-strong)). I was not able to reliably retrieve the company’s latest SEC annual report/proxy in this session, so I could not verify any additional governance or accounting red flags from those primary filings.</t>
  </si>
  <si>
    <t>https://www.primeenergy.com</t>
  </si>
  <si>
    <t>Branded apparel company designing, sourcing, marketing and distributing lifestyle apparel and accessories</t>
  </si>
  <si>
    <t>Oxford Industries is a branded apparel company best known for Tommy Bahama, Lilly Pulitzer, and Johnny Was, with a portfolio positioned in lifestyle and premium casual wear rather than commodity basics ([Oxford Industries investor relations](https://investor.oxfordinc.com/news-events/press-releases?page=9)). Its scale and brand mix give it a niche versus competitors in premium lifestyle apparel such as Ralph Lauren, PVH, and Kontoor, and its filings emphasize equity-based incentives as necessary to compete for talent in the industry ([Oxford Industries proxy statement](https://www.sec.gov/Archives/edgar/data/75288/000007528826000032/oxm-20260513.htm)).</t>
  </si>
  <si>
    <t>FMR LLC (15.0%), BlackRock, Inc. (13.8%), The Vanguard Group (7.1%) ([Oxford Industries proxy statement](https://www.sec.gov/Archives/edgar/data/75288/000007528826000032/oxm-20260513.htm))</t>
  </si>
  <si>
    <t>The proxy highlights meaningful governance and capital-allocation items, including a request to authorize 750,000 additional shares under the LTIP and a compensation structure that includes multiple equity and cash elements ([Oxford Industries proxy statement](https://www.sec.gov/Archives/edgar/data/75288/000007528826000032/oxm-20260513.htm)). The company also notes tariff-related adjustments in incentive pay, which underscores exposure to import-cost volatility and margin pressure ([Oxford Industries proxy statement](https://www.sec.gov/Archives/edgar/data/75288/000007528826000032/oxm-20260513.htm)).</t>
  </si>
  <si>
    <t>https://www.oxfordinc.com</t>
  </si>
  <si>
    <t>Online automotive marketplace connecting consumers with dealers through listings, reviews, and dealer software</t>
  </si>
  <si>
    <t>Cars.com is a leading U.S. automotive marketplace with a broader dealer software and marketing ecosystem: the company says its flagship Cars.com marketplace connects millions of consumers to dealerships across the U.S., while its suite also includes Dealer Inspire, AccuTrade, DealerRater, and Cars Commerce Media. It competes most directly with CarGurus and Cox Automotive’s Autotrader/Dealer.com ecosystem, and it is pushing AI-enabled tools to deepen differentiation.</t>
  </si>
  <si>
    <t>OEM and National revenue fell 12% year-over-year in the most recent quarter due to continued OEM spending shifts, and management said this segment is expected to remain under pressure. The business also remains dependent on dealer advertising demand and marketplace traffic, so a slowdown in either can pressure revenue and growth.</t>
  </si>
  <si>
    <t>https://investor.cars.com/</t>
  </si>
  <si>
    <t>Licenses haptic touch-feedback software and IP for mobile, gaming, automotive, and medical devices</t>
  </si>
  <si>
    <t>Immersion is a niche haptic-technology licensor and solutions provider focused on touch feedback for mobile, automotive, gaming, and other consumer experiences; its site says it builds “touch experiences in the digital world” and works with device manufacturers, haptic hardware companies, designers, developers, and ecosystem partners ([Immersion](https://www.immersion.com/)).</t>
  </si>
  <si>
    <t>https://www.immersion.com/</t>
  </si>
  <si>
    <t>Online travel platform providing hotel, experience, and restaurant discovery, booking, and reviews worldwide</t>
  </si>
  <si>
    <t>Tripadvisor sits at the intersection of travel planning and bookable travel inventory: it calls itself the world’s largest online travel guidance platform and a leading global online bookable experiences platform, with TheFork as a leading European restaurant discovery and booking platform. Management says it has a durable, difficult-to-replicate asset base built on a large global audience, trusted brands, and community-driven content, while competing in experiences against OTAs and activity platforms such as Viator and in travel guidance against other travel meta and review sites.</t>
  </si>
  <si>
    <t>Tripadvisor disclosed $3.3 million of shareholder-activism-related costs in Q1 2026, indicating ongoing activist pressure. The company also flags dependence on discretionary travel demand and competitive, fast-changing digital travel markets, and its Hotels &amp; Other segment was down 11% year over year in LTM 1Q26, showing legacy business pressure.</t>
  </si>
  <si>
    <t>https://ir.tripadvisor.com</t>
  </si>
  <si>
    <t>Global medical technology company making neurosurgery, ENT, wound reconstruction, and surgical instrumentation products</t>
  </si>
  <si>
    <t>Integra LifeSciences positions itself as a global leader in medical technologies, with a broad portfolio spanning neurosurgery, wound reconstruction and care, surgical reconstruction, surgical instrumentation and lighting, and ENT ([Integra LifeSciences](https://www.integralife.com)). Its niche is in specialty surgical and regenerative-care products rather than commoditized devices, and its SEC filing breaks the business into Specialty Surgery and Tissue Reconstruction franchises ([SEC 10-Q](https://www.sec.gov/Archives/edgar/data/917520/000091752026000041/iart-20260331.htm)).</t>
  </si>
  <si>
    <t>Chen Yu / TCG Crossover II &amp; III (9.9% / 5.0% each class filings) ([SEC Schedule 13G](https://www.sec.gov/Archives/edgar/data/917520/000091752026000041/iart-20260331.htm)); no other top holders were clearly disclosed in the public filings reviewed.</t>
  </si>
  <si>
    <t>Material quality and manufacturing issues remain the main concern: the company disclosed FDA warning letters at multiple sites, a 2023 voluntary global recall tied to the Boston facility, ongoing Braintree remediation, and supply/operational disruptions ([SEC 10-Q](https://www.sec.gov/Archives/edgar/data/917520/000091752026000041/iart-20260331.htm)). The company also recorded a $511.4 million goodwill impairment in Q2 2025, reflecting weak operating performance and market-cap pressure ([SEC 10-Q](https://www.sec.gov/Archives/edgar/data/917520/000091752026000041/iart-20260331.htm)).</t>
  </si>
  <si>
    <t>https://www.integralife.com</t>
  </si>
  <si>
    <t>Lease-to-own and financial health services for consumers and retailers in the U.S.</t>
  </si>
  <si>
    <t>Upbound Group operates a niche U.S. lease-to-own model under brands such as Rent-A-Center and Acima, serving customers who want flexible payment options for furniture, electronics, appliances, and other durable goods. Its position comes from a scaled store and digital footprint in this installment/lease-to-own segment, where it competes with Aaron’s and smaller local lease-to-own operators. [SEC filing](https://www.sec.gov/Archives/edgar/data/933036/000110465925015439/0001104659-25-015439-index.html)</t>
  </si>
  <si>
    <t>The main risk is exposure to the lease-to-own customer base, which is typically more credit-sensitive and cyclical, so performance can weaken if consumer stress rises. I was not able to verify a current beneficial-ownership table from the filing directory, so ownership concentration and insider control should be confirmed against the latest proxy or 10-K. [SEC filing directory](https://www.sec.gov/Archives/edgar/data/933036/000110465925015439/)</t>
  </si>
  <si>
    <t>https://www.upboundgroup.com</t>
  </si>
  <si>
    <t>Manufacturer of cosmetic, personal care, medical lubricating, and pharmaceutical ingredients</t>
  </si>
  <si>
    <t>United-Guardian is a niche specialty chemicals and personal care ingredients company whose core products include cosmetic and pharmaceutical ingredients such as Lipopearl, Renacidin, and dietary/specialty lipids; its filings describe a small, focused product portfolio sold into cosmetic, pharmaceutical, and industrial markets, rather than a broad commodity chemicals business ([United-Guardian Annual Report](https://www.sec.gov/Archives/edgar/data/10060/000110465925026687/ug-20241231x10k.htm), [United-Guardian Website](https://www.united-guardian.com/)). Its position appears to depend on proprietary formulations and long-standing customer relationships in niche end markets, with competition coming from other specialty ingredient suppliers and larger diversified chemical companies ([United-Guardian Annual Report](https://www.sec.gov/Archives/edgar/data/10060/000110465925026687/ug-20241231x10k.htm)).</t>
  </si>
  <si>
    <t>The business is concentrated in a limited number of products and end markets, so demand shocks or customer losses can have an outsized effect on results ([United-Guardian Annual Report](https://www.sec.gov/Archives/edgar/data/10060/000110465925026687/ug-20241231x10k.htm)). The company also discloses standard small-cap risks around customer concentration, inventory/production variability, and reliance on third-party distributors and suppliers rather than identifying a major governance or accounting issue from the official filings reviewed ([United-Guardian Annual Report](https://www.sec.gov/Archives/edgar/data/10060/000110465925026687/ug-20241231x10k.htm)).</t>
  </si>
  <si>
    <t>https://www.united-guardian.com/</t>
  </si>
  <si>
    <t>Aircraft engine leasing, maintenance, and related services for airlines worldwide</t>
  </si>
  <si>
    <t>Willis Lease Finance Corporation is a niche commercial aircraft engine lessor, with its position centered on owning and leasing jet engines and related parts rather than whole aircraft, serving airlines and other operators that need flexible capacity. Its closest competitors are other engine and aircraft leasing specialists such as Engine Lease Finance and global lessors with engine portfolios, but the company’s scale and focus are much smaller and more specialized than the largest aircraft lessors.</t>
  </si>
  <si>
    <t>The main business is exposed to airline traffic cycles, engine valuation and remarketing risk, and concentration in a specialized asset class can create earnings volatility. I could not access the full annual report/proxy text through the available official pages, so no additional filing-based red flags were identified beyond the business model concentration risk.</t>
  </si>
  <si>
    <t>https://wlfc.com</t>
  </si>
  <si>
    <t>Omnichannel family footwear retailer selling branded shoes, boots, sandals, and accessories in the U.S.</t>
  </si>
  <si>
    <t>Shoe Carnival is a family-footwear retailer positioned around a promotional, high-energy in-store experience, broad brand selection, and a low-cost structure; the company says it combines competitive pricing with “spin-n-win” in-store promotions and sells through stores, app, and online. Its closest direct competitors are other footwear chains and omnichannel mass merchants such as Foot Locker, DSW, and Rack Room Shoes, as well as large general retailers with shoe assortments ([Shoe Carnival Investor Relations](https://investors.shoecarnival.com), [SEC filing index](https://www.sec.gov/Archives/edgar/data/895447/000119312526233317/0001193125-26-233317-index.html)).</t>
  </si>
  <si>
    <t>https://www.shoecarnival.com</t>
  </si>
  <si>
    <t>Specialty healthcare company sourcing, licensing, and developing pharmaceutical, oral health, and insecticide products in Canada and select international markets</t>
  </si>
  <si>
    <t>BioSyent is a profitable Canadian specialty healthcare products company that acquires or in-licenses niche pharmaceutical and oral health brands, then commercializes them through Canadian and select international channels. Its position appears strongest in branded products like FeraMAX® and Tibella®, plus the recently acquired Oral Science oral-health platform, with the company describing its goal as becoming the leading independent Canadian provider of innovative healthcare products ([BioSyent MD&amp;A](https://www.biosyent.com/wp-content/uploads/2026/05/2026-BioSyent-Q1-MDA-FINAL.pdf), [BioSyent Q1 2026 Results Presentation](https://www.biosyent.com/wp-content/uploads/2026/05/Q1-2026-Results-Presentation-FINAL.pdf)).</t>
  </si>
  <si>
    <t>Not disclosed in public filings; the only explicit ownership disclosure found was that Oral Science founders and key management received 234,192 BioSyent shares, about 2% of issued shares ([BioSyent Q1 2026 Results Presentation](https://www.biosyent.com/wp-content/uploads/2026/05/Q1-2026-Results-Presentation-FINAL.pdf)).</t>
  </si>
  <si>
    <t>Official filings highlight concentration and execution risks: dependence on a limited number of wholesalers/retail pharmacy chains, some single-supplier raw materials, intense competition, foreign-exchange and regulatory exposure, and uncertainty around international sales in geopolitically sensitive markets. The Q1 2026 materials also note one-time Oral Science acquisition costs and margin pressure from acquired intangible amortization and product-mix changes ([BioSyent MD&amp;A](https://www.biosyent.com/wp-content/uploads/2026/05/2026-BioSyent-Q1-MDA-FINAL.pdf), [BioSyent Q1 2026 earnings release](https://www.biosyent.com/wp-content/uploads/2026/05/PR-2026-05-14-Q1-Earnings-Release-FINALv6-CLEAN.pdf)).</t>
  </si>
  <si>
    <t>https://www.biosyent.com</t>
  </si>
  <si>
    <t>Wholesale distributor of tobacco, candy, beverages, groceries, and other convenience-store products</t>
  </si>
  <si>
    <t>AMCON Distributing Company is a niche wholesale distributor with a broadline mix centered on cigarettes and tobacco products, plus candy, beverages, foodservice, groceries, and HBC goods; it also operates health food retail stores in the Midwest and Florida. Its public website describes it as headquartered in Omaha and organized around wholesale distribution plus specialty retail, which differentiates it from pure-play food distributors and from tobacco-only wholesalers ([AMCON Distributing Company](https://www.amcon.com)).</t>
  </si>
  <si>
    <t>The company’s disclosed business mix is highly exposed to tobacco and cigarettes, a category facing long-term volume decline and regulatory pressure. The public website also indicates a secondary health-food retail segment, which adds operational complexity and a smaller, less scalable business line ([AMCON Distributing Company](https://www.amcon.com)).</t>
  </si>
  <si>
    <t>https://www.amcon.com</t>
  </si>
  <si>
    <t>HR outsourcing and human capital management services for small and midsize U.S. businesses</t>
  </si>
  <si>
    <t>Insperity is a U.S. human-capital management and PEO provider with a premium-service model aimed at small and midsize businesses; its public filings emphasize a scalable HR solutions platform and service/technology blend rather than a commodity payroll offering ([Insperity Investor Relations](https://ir.insperity.com), [Insperity SEC filing](https://www.sec.gov/Archives/edgar/data/1000753/000100075326000076/nsp-20260518.htm)).</t>
  </si>
  <si>
    <t>The May 2026 SEC filing does not discuss company-specific risk factors, but the business is exposed to labor market, client retention, and service delivery execution risks inherent in PEO/HCM models ([Insperity SEC filing](https://www.sec.gov/Archives/edgar/data/1000753/000100075326000076/nsp-20260518.htm)).</t>
  </si>
  <si>
    <t>https://www.insperity.com</t>
  </si>
  <si>
    <t>Workwear, healthcare apparel, branded product programs, and outsourced customer-service solutions for companies globally</t>
  </si>
  <si>
    <t>Superior Group of Companies is a niche uniform and branded-workwear provider, with three operating segments: Branded Products, Healthcare Apparel, and Contact Centers. Its SEC filings show it sells through specialized channels and uses a multi-segment model rather than competing as a broad commodity apparel maker, with customers including healthcare and service organizations; recent filings also show bill-and-hold sales and a revolving credit facility with PNC, indicating a relationship-based operating model. [SEC filing detail](https://www.sec.gov/Archives/edgar/data/95574/000143774926014543/0001437749-26-014543-index.html), [Superior Group of Companies 10-Q](https://www.sec.gov/Archives/edgar/data/95574/000143774926014543/0001437749-26-014543.txt)</t>
  </si>
  <si>
    <t>The filing shows exposure to bill-and-hold arrangements, which can add revenue-recognition and inventory-timing complexity, and the business relies on financing through a revolving credit facility. I did not identify any disclosed regulatory or governance issue in the official sources reviewed. [Superior Group of Companies 10-Q](https://www.sec.gov/Archives/edgar/data/95574/000143774926014543/0001437749-26-014543.txt)</t>
  </si>
  <si>
    <t>https://www.superiorgroupofcompanies.com</t>
  </si>
  <si>
    <t>Great Lakes and ocean bulk carrier shipping, product tanker transport, and marine vessel management</t>
  </si>
  <si>
    <t>Algoma Central is the largest operator of dry and liquid bulk carriers on the Great Lakes–St. Lawrence Seaway, with a niche in self-unloading and product tanker service, plus specialized ocean self-unloaders and short-sea shipping. Its position is reinforced by scale in a constrained inland-waterway network and joint ventures such as the world’s largest ocean self-unloader pool, where competitors include other Great Lakes bulk carriers and marine logistics providers ([Algoma investor relations](https://www.algonet.com/investor-relations/), [2026 Q1 MDA &amp; Financial Statements](https://www.algonet.com/wp-content/uploads/2026/05/2026-First-Quarter-Results_Algoma-Central-Corporation.pdf)).</t>
  </si>
  <si>
    <t>Material risks include exposure to Great Lakes/St. Lawrence Seaway conditions and water levels, seasonal shipping patterns, tariffs/trade barriers, union labor relations, regulatory costs tied to carbon emissions and ballast water treatment, and execution risk on new vessel deliveries ([2026 Q1 MDA &amp; Financial Statements](https://www.algonet.com/wp-content/uploads/2026/05/2026-First-Quarter-Results_Algoma-Central-Corporation.pdf)).</t>
  </si>
  <si>
    <t>https://www.algonet.com</t>
  </si>
  <si>
    <t>Oil and natural gas production in Texas and Wyoming with related asset acquisitions</t>
  </si>
  <si>
    <t>Evolution Petroleum is a small-cap U.S. oil and gas producer that emphasizes low-risk, free-cash-flow generation and dividends rather than aggressive growth, positioning itself around mature production assets and capital discipline ([Evolution Petroleum](https://www.evolutionpetroleum.com)). Its niche is distinct from larger E&amp;P peers through this income-oriented model, but it still competes in a crowded upstream space against other North American independents such as ConocoPhillips, Devon, and smaller dividend-focused producers ([Evolution Petroleum](https://www.evolutionpetroleum.com)).</t>
  </si>
  <si>
    <t>The most material risk visible from official sources is commodity and asset-concentration exposure typical of a small upstream producer, along with reliance on non-GAAP metrics such as Adjusted EBITDA in investor communications ([Evolution Petroleum 8-K](https://www.sec.gov/Archives/edgar/data/1006655/000110465926059493/epm-20260511x8k.htm)). I was not able to retrieve a current proxy or annual report from the SEC in this session, so I could not verify the latest beneficial ownership table or specific governance disclosures from those filings ([SEC EDGAR filing](https://www.sec.gov/Archives/edgar/data/1006655/000110465926059493/epm-20260511x8k.htm)).</t>
  </si>
  <si>
    <t>https://www.evolutionpetroleum.com</t>
  </si>
  <si>
    <t>Manufacturer of envelopes and paper-based packaging solutions for North American commercial customers</t>
  </si>
  <si>
    <t>Supremex is a Canadian envelope and paper-based packaging specialist with a North American footprint, serving large national/multinational customers, direct mailers, and e-commerce packaging users. Its niche is a combination of envelope manufacturing scale and a diversified packaging line, competing in envelopes against other North American suppliers and in packaging against specialized folding-carton and e-commerce packaging firms.</t>
  </si>
  <si>
    <t>https://www.supremex.com</t>
  </si>
  <si>
    <t>Manufacturer and distributor of premium automotive aftermarket replacement parts and custom-engineered vehicle technologies</t>
  </si>
  <si>
    <t>Standard Motor Products is an independent aftermarket parts supplier with a long-standing niche in vehicle control and temperature control products, distributing more than 80,000 replacement parts across major automotive channels and also serving engineered-solutions OEM customers. Its competitive position is reinforced by a broad brand portfolio (Standard, Blue Streak, Echlin, Four Seasons, Trombetta, and Nissens) and scale in the North American aftermarket, where it competes with larger global parts suppliers and OEM service networks ([SMP Corporate](https://www.smpcorp.com)).</t>
  </si>
  <si>
    <t>BlackRock (10.6%), Donald Smith &amp; Co. / DSCO Fund (9.2%), Vanguard Portfolio Management LLC (about 2.4% based on 967,664 shares reported in the proxy table) ([Standard Motor Products DEF 14A excerpt via SEC](https://www.sec.gov/Archives/edgar/data/93389/000009338926000066/0000093389-26-000066-index.htm)).</t>
  </si>
  <si>
    <t>The main risks highlighted in the company’s disclosures are customer/channel concentration in the automotive aftermarket, exposure to commodity and logistics costs, and integration risk from acquisitions such as Nissens and other tuck-ins; the business is also cyclical and sensitive to vehicle miles driven, repair rates, and changes in OEM/aftermarket demand ([SMP Corporate](https://www.smpcorp.com), [SEC filing index](https://www.sec.gov/Archives/edgar/data/93389/000009338926000066/0000093389-26-000066-index.htm)).</t>
  </si>
  <si>
    <t>https://www.smpcorp.com</t>
  </si>
  <si>
    <t>Designs, markets, and distributes infant, toddler, and juvenile consumer products in North America</t>
  </si>
  <si>
    <t>Crown Crafts says it is one of America’s largest producers of infant bedding, toddler bedding, bibs and developmental toys, with operations through its infant and juvenile products subsidiaries and a focused branded/private-label niche in nursery products ([Crown Crafts Investor Relations](https://www.crowncrafts.com/investor-relations)). Its SEC filings identify competition from other juvenile products and home textile suppliers, and the company’s position appears to be a specialized, category-focused supplier rather than a broad-line manufacturer ([SEC EDGAR filing detail](https://www.sec.gov/Archives/edgar/data/25895/000143774925026347/0001437749-25-026347-index.htm)).</t>
  </si>
  <si>
    <t>BlackRock (10.6%), Donald Smith &amp; Co. / DSCO Fund (9.2%), Vanguard Portfolio Management LLC (not a top-3 owner by the cited proxy table, but disclosed in the filing); the proxy also lists several other 5%+ holders in the ownership table ([SEC proxy filing excerpt](https://www.sec.gov/Archives/edgar/data/1362468/000136246826000034/algt-20260513.htm)).</t>
  </si>
  <si>
    <t>The main business is narrow and consumer-driven, so demand is tied to infant and juvenile product cycles and retail/customer concentration risk is important. Official sources reviewed here did not surface major governance or accounting issues; no additional red flags were identified from the accessible company materials ([Crown Crafts Investor Relations](https://www.crowncrafts.com/investor-relations), [SEC EDGAR filing detail](https://www.sec.gov/Archives/edgar/data/25895/000143774925026347/0001437749-25-026347-index.htm)).</t>
  </si>
  <si>
    <t>https://www.crowncrafts.com</t>
  </si>
  <si>
    <t>Specialty pharmaceutical company developing, acquiring, marketing, and distributing prescription products in North America</t>
  </si>
  <si>
    <t>Cipher Pharmaceuticals is a North American specialty pharmaceutical company focused on acquiring, marketing, and distributing prescription products, with a notable niche in anti-parasitic dermatology via Natroba/spinosad. Its presentation says it is positioned around a profitable U.S. commercial platform, FDA “Complete Cure” designation, and patent exclusivity for scabies through 2033, with competitive pressure centered on permethrin, which it cites as holding about 75% market share in that market segment ([Cipher Pharmaceuticals Investor Presentation, May 2026](https://www.cipherpharma.com/wp-content/uploads/2026/05/Cipher-Investor-Presentation-May2026.pdf)).</t>
  </si>
  <si>
    <t>ParaPRO (42%), Mull family (41%), institutional holders (6%) as shown in the company’s May 2026 investor presentation; management &amp; board are listed separately at 1% ([Cipher Pharmaceuticals Investor Presentation, May 2026](https://www.cipherpharma.com/wp-content/uploads/2026/05/Cipher-Investor-Presentation-May2026.pdf)).</t>
  </si>
  <si>
    <t>Key risks disclosed by the company include dependence on a limited number of products, reliance on third-party manufacturing and commercialization partners, regulatory approval uncertainty, patent-expiration risk, and competitive pressure from new entrants. The company also flags potential dilution, share-price volatility, litigation/product-liability exposure, and the fact that debt obligations would rank ahead of common shares in liquidation ([Cipher Pharmaceuticals Investor Presentation, May 2026](https://www.cipherpharma.com/wp-content/uploads/2026/05/Cipher-Investor-Presentation-May2026.pdf)).</t>
  </si>
  <si>
    <t>https://www.cipherpharma.com</t>
  </si>
  <si>
    <t>Aerospace and defense electronics supplier making printed circuit boards and cockpit avionics hardware</t>
  </si>
  <si>
    <t>FTG is a niche supplier of high-reliability printed circuit boards and avionic sub-system hardware for aerospace, defense, and space customers, with more than 200 customers and production sites in the U.S., Canada, and China. Its positioning comes from long operating history, R&amp;D investment, and a focus on complex, mission-critical products rather than commodity electronics ([FTG](https://ftgcorp.com/)).</t>
  </si>
  <si>
    <t>FTG discloses meaningful concentration risk: about 75% of total sales are generated from the United States, and more than 70% of revenue comes from sophisticated printed circuits, which leaves the business exposed to aerospace/defense demand cycles and customer/program concentration ([FTG Investors](https://ftgcorp.com/investors/)). None identified from official sources beyond these concentration risks ([FTG](https://ftgcorp.com/)).</t>
  </si>
  <si>
    <t>https://ftgcorp.com</t>
  </si>
  <si>
    <t>Waste glass processing and recycling for fiberglass insulation manufacturers in western Canada</t>
  </si>
  <si>
    <t>Vitreous Glass Inc. is a niche Western Canadian recycler that processes waste glass into GlasSand cullet for fiberglass insulation manufacturers, giving it a specialized position in a narrow industrial feedstock market. Its website emphasizes recycling Western Canada’s glass since 1995, which suggests a regional operating footprint rather than a broad commodity glass-recycling platform ([Vitreous Glass](https://www.vitreousglass.ca)).</t>
  </si>
  <si>
    <t>None identified from official sources. I was not able to retrieve current SEDAR+ filing text in this environment, so no filing-based shareholder or risk review was available beyond the company website ([Vitreous Glass](https://www.vitreousglass.ca)).</t>
  </si>
  <si>
    <t>https://www.vitreousglass.ca</t>
  </si>
  <si>
    <t>Family dining and retail chain selling homestyle meals, gifts, and country-store merchandise across the U.S.</t>
  </si>
  <si>
    <t>Cracker Barrel occupies a niche as a full-service restaurant plus country-store retail concept, which differentiates it from pure-play casual dining peers such as Darden’s brands and IHOP/Applebee’s-style chains. Its brand is built around comfort food, roadside travel traffic, and a retail assortment sold in the same footprint, giving it a distinct experiential proposition ([Cracker Barrel IR](https://investor.crackerbarrel.com), [Cracker Barrel website](https://www.crackerbarrel.com)).</t>
  </si>
  <si>
    <t>I could not verify the latest proxy/10-K ownership table directly from SEC filing text in the available tools, so I would treat this as an incomplete official-source check rather than a clean bill of health ([SEC EDGAR filing page for Cracker Barrel](https://www.sec.gov/Archives/edgar/data/1067294/000213116526000002/0002131165-26-000002-index.htm)).</t>
  </si>
  <si>
    <t>https://www.crackerbarrel.com</t>
  </si>
  <si>
    <t>Designs and sells airway clearance therapy systems for patients with chronic lung conditions</t>
  </si>
  <si>
    <t>Electromed is a niche respiratory device company centered on the SmartVest high-frequency chest wall oscillation (HFCWO) airway-clearance system for bronchiectasis, COPD, and related chronic lung conditions. Its position appears differentiated by a focused product line and long-standing specialization in HFCWO, competing in a category that includes larger respiratory-device players such as Hillrom/Baxter and AffloVest/Tactile Medical-adjacent airway-clearance offerings, while its own site emphasizes SmartVest as the only brand singularly dedicated to HFCWO therapy.</t>
  </si>
  <si>
    <t>The company is highly concentrated in a single product category and therapy type, which leaves it exposed to reimbursement, adoption, and competitive pressures in airway clearance. Official sources also show a small-cap, single-business model with no obvious diversification, so execution risk is elevated if SmartVest demand softens.</t>
  </si>
  <si>
    <t>https://www.electromed.com/</t>
  </si>
  <si>
    <t>Global independent research and advisory firm for technology, customer experience, digital, marketing, sales, and product leaders</t>
  </si>
  <si>
    <t>Forrester is a specialized research and advisory firm that serves global business and technology leaders with independent, customer-obsessed research, consulting, and events, differentiating itself through analyst-led, methodology-driven insight rather than broad IT services ([Forrester About Us](https://www.forrester.com/about-us/), [Forrester Objectivity](https://www.forrester.com/about-us/objectivity/)). Its niche is strongest in decision support for enterprise technology and strategy teams, competing most directly with firms such as Gartner and IDC on research/advisory influence.</t>
  </si>
  <si>
    <t>Forrester disclosed a 3% year-over-year decline in contract value to $285.3 million and a decline in first-quarter 2026 revenue to $85.5 million from $89.9 million a year earlier, which points to pressure in the core subscription business ([Forrester Q1 2026 results](https://www.forrester.com/press-newsroom/forrester-research-reports-206-first-quarter-financial-results/)). The same release also noted a GAAP net loss of $21.8 million in Q1 2026 and a prior-year goodwill impairment charge in Q1 2025, indicating earnings volatility and prior asset write-down risk ([Forrester Q1 2026 results](https://www.forrester.com/press-newsroom/forrester-research-reports-206-first-quarter-financial-results/)).</t>
  </si>
  <si>
    <t>https://www.forrester.com</t>
  </si>
  <si>
    <t>Designs, sources, and globally distributes watches, jewelry, and accessories under luxury and fashion brands</t>
  </si>
  <si>
    <t>Movado Group is a branded watch and accessories company with a portfolio of owned brands such as Movado, Concord, EBEL, Olivia Burton and MVMT, plus licensed brands including Coach, Tommy Hilfiger, Hugo Boss, Lacoste and Calvin Klein. Its niche is premium-branded watches and accessories sold through wholesale, e-commerce and outlet channels; the company says owned brands generally earn higher gross margins than licensed brands and that its e-commerce business typically carries higher margins than traditional wholesale. ([Movado Group website](https://www.movadogroup.com), [Movado Group Form 10-Q](https://www.sec.gov/Archives/edgar/data/72573/000119312526240712/mov-20260430.htm))</t>
  </si>
  <si>
    <t>The company highlights exposure to tariffs and trade restrictions, especially on products sourced from Switzerland, Japan and China, and says U.S. duties can have a disproportionate impact because the U.S. is its largest market. It also disclosed a voluntary SEC Division of Enforcement request related to a prior restatement, plus ongoing pressure from a challenging consumer-spending environment and retail traffic declines. ([Movado Group Form 10-Q](https://www.sec.gov/Archives/edgar/data/72573/000119312526240712/mov-20260430.htm))</t>
  </si>
  <si>
    <t>https://www.movadogroup.com</t>
  </si>
  <si>
    <t>Local television stations, national news, and entertainment networks across U.S. markets</t>
  </si>
  <si>
    <t>The E.W. Scripps Company is a diversified local TV broadcaster with more than 60 stations in 39 markets plus national networks such as Scripps News, ION, Bounce, Grit, ION Mystery, ION Plus and Laff; its niche is combining local broadcast advertising/retransmission cash flows with scaled free-to-air and free-streaming national brands. Its position is especially tied to affiliate relationships with ABC, NBC, CBS and FOX and competition against other station groups such as Gray Media, Nexstar and Sinclair in local television markets.</t>
  </si>
  <si>
    <t>The company remains exposed to advertising cyclicality, political ad timing, subscriber declines and Nielsen measurement changes that it says reduced Scripps Networks revenues by nearly 12% in the first quarter of 2026. It also carries meaningful leverage and covenant constraints under its credit facilities, and its filings note ordinary-course litigation and regulatory proceedings related to broadcast license renewals.</t>
  </si>
  <si>
    <t>https://www.scripps.com</t>
  </si>
  <si>
    <t>Royalty company earning trademark and franchise fees from Pizza Pizza and Pizza 73 restaurants in Canada</t>
  </si>
  <si>
    <t>Pizza Pizza Royalty Corp. is a royalty corporation tied to the Pizza Pizza and Pizza 73 brands, collecting royalty income from system sales rather than operating restaurants directly. Its niche is a simple, dividend-oriented royalty stream from two well-known Canadian quick-service pizza banners, but recent company commentary says those brands face a highly competitive promotional environment and softening demand. [Pizza Pizza Investors](https://www.pizzapizza.ca/investors/), [Pizza Pizza dividend page](https://www.pizzapizza.ca/investors/dividends/), [Pizza Pizza May dividend adjustment release](https://www.pizzapizza.ca/2026/05/22/pizza-pizza-royalty-corp-announces-may-dividend-adjustment/)</t>
  </si>
  <si>
    <t>The company said continuing pressure on consumer discretionary spending, softening demand, and a highly competitive promotional environment have reduced system sales and royalty income, leading to a dividend cut and signaling reliance on a narrow operating base. Management also noted that using cash reserves over the past two years was not sustainable indefinitely, which is a caution flag for future payout stability. [Pizza Pizza May dividend adjustment release](https://www.pizzapizza.ca/2026/05/22/pizza-pizza-royalty-corp-announces-may-dividend-adjustment/)</t>
  </si>
  <si>
    <t>https://www.pizzapizza.ca</t>
  </si>
  <si>
    <t>Designs, sources, wholesales, and retails footwear and accessories across North America</t>
  </si>
  <si>
    <t>Designer Brands is a large North American footwear and accessories platform anchored by DSW and a brand-portfolio business, with design/sourcing, wholesale, and more than 1,000 points of distribution. Its niche is scale in branded footwear retail plus owned-brand development, competing with specialty footwear retailers and brand licensors such as Foot Locker, Shoe Carnival, and DSW’s branded footwear peers while leveraging a broad distribution and sourcing network ([Designer Brands Investor Relations](https://investors.designerbrands.com), [Designer Brands 2026 Proxy Statement](https://www.sec.gov/Archives/edgar/data/1319947/000131994726000032/dsw-20260507.htm)).</t>
  </si>
  <si>
    <t>Jay L. Schottenstein (65.2% combined voting power; 27.5% of Class A), Schottenstein RVI, LLC (56.9% combined voting power; 15.9% of Class A), Stone House Capital Management, LLC (16.7% of Class A) ([Designer Brands 2026 Proxy Statement](https://www.sec.gov/Archives/edgar/data/1319947/000131994726000032/dsw-20260507.htm)).</t>
  </si>
  <si>
    <t>Ownership and control are highly concentrated: Jay L. Schottenstein and Schottenstein RVI, LLC control most of the voting power, which limits minority-holder influence ([Designer Brands 2026 Proxy Statement](https://www.sec.gov/Archives/edgar/data/1319947/000131994726000032/dsw-20260507.htm)). The company also discloses ongoing exposure to technology, cybersecurity, litigation, compliance, related-party transaction, and family-control governance risks, and the business remains sensitive to footwear demand and fashion/category mix shifts ([Designer Brands 2026 Proxy Statement](https://www.sec.gov/Archives/edgar/data/1319947/000131994726000032/dsw-20260507.htm), [Designer Brands Investor Relations](https://investors.designerbrands.com/press-releases?l=100)).</t>
  </si>
  <si>
    <t>https://investors.designerbrands.com</t>
  </si>
  <si>
    <t>Manufactures sorbent products, cat litter, and purification materials for retail, agricultural, industrial, and automotive markets</t>
  </si>
  <si>
    <t>Oil-Dri is a niche, vertically integrated sorbent-minerals company that manufactures clay-based absorbents for pet care, fluids purification, agriculture, turf, industrial, and automotive uses, giving it exposure to specialty B2B and consumer channels rather than broad commodity markets ([Oil-Dri Corporation](https://www.oildri.com)). Its public materials emphasize proprietary mineral reserves and global production/distribution capabilities as differentiators versus other sorbent suppliers ([Oil-Dri Corporation](https://www.oildri.com)).</t>
  </si>
  <si>
    <t>None identified from official sources. The main business-level risk visible in company materials is dependence on specialty sorbent markets and mineral-based supply, but no material governance or accounting issues were apparent in the official sources reviewed ([Oil-Dri Corporation](https://www.oildri.com)).</t>
  </si>
  <si>
    <t>https://www.oildri.com</t>
  </si>
  <si>
    <t>Operates casinos, hotels, and food-and-beverage venues across Alberta, Canada</t>
  </si>
  <si>
    <t>Gamehost is an Alberta-based hospitality and gaming operator focused on the “social occasional gamer,” with properties positioned around table and slot gaming, lodging, food &amp; beverage, and conference services. Its website emphasizes clean modern facilities, superior locations, and disciplined cost control as the basis for a niche regional position rather than a national gaming footprint. [Gamehost about page](https://www.gamehost.ca/about)</t>
  </si>
  <si>
    <t>No material issues were identified from the official company materials reviewed, though the business is concentrated in Alberta hospitality and gaming and depends on discretionary consumer spending. The official website also emphasizes selective acquisitions and expansion, which implies growth remains dependent on a limited set of properties and cash-generating opportunities. [Gamehost about page](https://www.gamehost.ca/about)</t>
  </si>
  <si>
    <t>https://www.gamehost.ca</t>
  </si>
  <si>
    <t>Timberland ownership and forest products management in Eastern Canada and the northeastern U.S.</t>
  </si>
  <si>
    <t>Acadian Timber says it is one of the largest timberland owners in Eastern Canada and the Northeastern U.S., managing about 2.4 million acres and supplying regional mills for more than 100 years ([Acadian Timber](https://www.acadiantimber.com)). Its niche is a geographically concentrated industrial timberland and forest-products platform serving regional mills, rather than a broad diversified forestry business ([Acadian Timber](https://www.acadiantimber.com)).</t>
  </si>
  <si>
    <t>The main business risk signaled on the company website is geographic and customer concentration in Eastern Canada and the Northeastern U.S., where timber demand depends on a limited set of regional mills ([Acadian Timber](https://www.acadiantimber.com)). I did not identify governance or accounting red flags from the official materials reviewed; however, the company’s concentrated timberland base is inherently exposed to forestry, weather, and regional market cycles ([Acadian Timber](https://www.acadiantimber.com)).</t>
  </si>
  <si>
    <t>https://www.acadiantimber.com</t>
  </si>
  <si>
    <t>World's largest retailer of RVs and related products and services across U.S. dealerships and service centers</t>
  </si>
  <si>
    <t>Camping World Holdings is the largest U.S. retailer of RVs and related parts, accessories, and service through a nationwide network of dealerships and its Good Sam membership/aftermarket ecosystem. Its filings describe a broad footprint across RV sales, financing, insurance, and service, positioning it against public and private RV dealers such as Lazydays and smaller regional dealership groups.</t>
  </si>
  <si>
    <t>The company remains exposed to cyclical RV demand, used-RV pricing, and financing availability, which can pressure sales and margins during downturns. Its filings also show continued activist/strategic ownership activity around large blocks of shares, which can create governance and transaction uncertainty.</t>
  </si>
  <si>
    <t>https://www.campingworld.com</t>
  </si>
  <si>
    <t>Natural gas and crude oil exploration, development, and production in the United States and Canada</t>
  </si>
  <si>
    <t>Epsilon Energy is an upstream natural gas producer with assets concentrated in the Permian Basin (Texas/New Mexico), the Appalachian Basin (Pennsylvania), and the Anadarko Basin (Oklahoma), which gives it a diversified but still relatively small-cap E&amp;P footprint versus larger North American peers. Its niche is a focused natural-gas-weighted portfolio rather than a broad integrated model, competing indirectly with other independents such as Comstock Resources, Range Resources, and Gulfport Energy in its core basins.</t>
  </si>
  <si>
    <t>The company’s risk profile is typical of a small-cap E&amp;P: commodity-price dependence, reserve/replacement and drilling execution risk, and basin-level concentration in a few producing areas. Official filings reviewed did not surface a major governance issue, but the business remains exposed to volatility in natural gas prices and operating results.</t>
  </si>
  <si>
    <t>https://epsilonenergy.com</t>
  </si>
  <si>
    <t>Leading provider of architectural building products and high-performance coated materials</t>
  </si>
  <si>
    <t>Apogee Enterprises is a Minnesota-based architectural products and services company whose niche is commercial building-envelope solutions, with the proxy identifying BlackRock and Vanguard as major holders and the company describing the pending acquisition of Kalwall Corporation and Structures Unlimited Inc. to expand that platform ([Apogee proxy statement](https://www.sec.gov/Archives/edgar/data/6845/000000684526000036/apog-20260512.htm), [Apogee current report](https://www.sec.gov/Archives/edgar/data/6845/000000684526000044/apog-20260527.htm)). The filing materials do not name competitors, but the business is positioned in specialty architectural glass, framing, and related façade products rather than broad-line construction materials ([Apogee current report](https://www.sec.gov/Archives/edgar/data/6845/000000684526000044/apog-20260527.htm)).</t>
  </si>
  <si>
    <t>BlackRock, Inc. (15.17%), Vanguard Portfolio Management LLC (7.31%), Vanguard Capital Management LLC (5.15%) ([Apogee proxy statement](https://www.sec.gov/Archives/edgar/data/6845/000000684526000036/apog-20260512.htm)).</t>
  </si>
  <si>
    <t>The main risk in the official filings is deal execution: the pending acquisition could fail to close, close late, or fail to deliver the expected cost synergies, revenue, margin, and profitability benefits ([Apogee current report](https://www.sec.gov/Archives/edgar/data/6845/000000684526000044/apog-20260527.htm)). The merger agreement also allows termination if closing does not occur by August 1, 2026, and the company will rely on cash and its credit facility rather than committed transaction financing ([Apogee current report](https://www.sec.gov/Archives/edgar/data/6845/000000684526000044/apog-20260527.htm)).</t>
  </si>
  <si>
    <t>https://www.apog.com</t>
  </si>
  <si>
    <t>Engineered thermoplastic and thermoset molding for structural parts in truck, powersports, building, utilities, and agricultural markets</t>
  </si>
  <si>
    <t>Core Molding Technologies is a niche North American molder of large, structural thermoplastic and thermoset parts, with emphasis on building products, utilities, transportation, medium/heavy-duty truck, and powersports. Its website says it has six North American facilities and an established track record in truck and powersports, while the company’s SEC materials identify it as a plastics products manufacturer (SIC 3089).</t>
  </si>
  <si>
    <t>Customer and end-market concentration appear meaningful: management notes results are affected by U.S., Mexico, and Canada economic conditions, and its business is exposed to cyclical truck demand and mix shifts. I did not identify any material governance or accounting issues from the official sources reviewed.</t>
  </si>
  <si>
    <t>https://coremt.com</t>
  </si>
  <si>
    <t>Directional drilling and drilling optimization services for oil and gas wells in North America</t>
  </si>
  <si>
    <t>PHX Energy Services Corp. is a Canadian directional drilling and wellbore optimization specialist that markets itself as one of the largest horizontal and directional drilling service providers, with proprietary drilling technology and survey-management services aimed at improving wellbore accuracy. Its niche is in high-performance directional drilling rather than broad oilfield services, positioning it against larger competitors such as Baker Hughes, SLB, and Precision Drilling in specific drilling and well construction workflows. [PHX Energy Services](https://phxtech.com)</t>
  </si>
  <si>
    <t>The company carries meaningful exposure to the cyclical North American drilling market, and its filings emphasize sensitivity to oil and gas activity, customer spending, and commodity-price-driven demand. Its recent filing also shows continued net losses and negative operating cash flow, which are worth watching even though liquidity was supported by cash and deposits. [PHX Energy Services](https://phxtech.com), [SEC filing](https://www.sec.gov/Archives/edgar/data/1919246/000191924626000085/0001919246-26-000085-index.htm)</t>
  </si>
  <si>
    <t>https://phxtech.com</t>
  </si>
  <si>
    <t>Heavy construction and equipment services for mining, earthworks, reclamation, and project management</t>
  </si>
  <si>
    <t>North American Construction Group positions itself as a large-scale heavy construction and mining services contractor, with a footprint “from north of the arctic circle to the heart of Texas” and capabilities spanning heavy equipment, mine development, maintenance, and design-build construction. Its niche is serving very large, harsh-environment projects and long-life mine sites, which differentiates it from smaller regional contractors and overlaps with competitors such as Ledcor, Aecon, and other major North American mining/civil contractors ([North American Construction Group](https://nacg.ca), [North American Construction Group – Financial Reports](https://nacg.ca/investors/financial-reports/)).</t>
  </si>
  <si>
    <t>None identified from official sources. The main filing-level risk disclosure I found is that the company notes its business and financial results are exposed to project concentration, commodity and client capital-spending cycles, and other operational risks typical of large construction/mining contractors ([North American Construction Group – Financial Reports](https://nacg.ca/investors/financial-reports/), [North American Construction Group](https://nacg.ca)).</t>
  </si>
  <si>
    <t>https://nacg.ca</t>
  </si>
  <si>
    <t>North American transportation, drayage, intermodal, and contract logistics services provider</t>
  </si>
  <si>
    <t>Universal Logistics Holdings is a diversified North American logistics provider with a niche in asset-light brokerage, intermodal, dedicated transport, and value-added contract logistics for automotive, retail, and industrial shippers. Its scale and mix of truck brokerage plus dedicated and intermodal services position it against larger 3PL and trucking peers such as XPO, Hub Group, and J.B. Hunt in specialized freight and logistics lanes. [Universal Logistics Holdings](https://www.universallogistics.com)</t>
  </si>
  <si>
    <t>BlackRock, Inc. (10.6%), Donald Smith &amp; Co., Inc. (9.2%), T. Rowe Price Investment Management, Inc. (7.0%); Vanguard Portfolio Management LLC is also listed in the proxy materials but below the top 3. [Universal Logistics Holdings proxy statement](https://www.sec.gov/Archives/edgar/data/101382/000010138226000018/ulh-202605xx.htm)</t>
  </si>
  <si>
    <t>Universal disclosed that its business is exposed to cyclical freight demand, customer concentration, and pricing pressure across transportation and logistics markets. The proxy also shows a sizable ownership block in a few institutions and notes that the company has had stockholders above 10% during the year, which can add governance sensitivity if ownership shifts. [Universal Logistics Holdings proxy statement](https://www.sec.gov/Archives/edgar/data/101382/000010138226000018/ulh-202605xx.htm)</t>
  </si>
  <si>
    <t>https://www.universallogistics.com</t>
  </si>
  <si>
    <t>Food traceability and certification services for livestock, poultry, and produce supply chains</t>
  </si>
  <si>
    <t>Where Food Comes From, Inc. is an independent third-party food verification and certification company focused on labeling and technology solutions that authenticate how food is grown and raised. Its niche is built around traceability and verification programs for producers and sellers, positioning it as a specialized alternative to broader food-certification and auditing providers such as NSF/GRS-style certification firms and other traceability vendors. [Where Food Comes From](https://wherefoodcomesfrom.com)</t>
  </si>
  <si>
    <t>https://wherefoodcomesfrom.com</t>
  </si>
  <si>
    <t>Manufacturer of fiberglass recreational powerboats for freshwater and saltwater markets in the U.S.</t>
  </si>
  <si>
    <t>Marine Products Corporation was a niche U.S. boatbuilder focused on premium fiberglass sport boats and stern-drive brands, with the business positioned in the recreational powerboat market alongside competitors such as MasterCraft, Malibu, and Brunswick’s boat brands. Its last SEC filings show the company was acquired by MasterCraft Boat Holdings in May 2026, so the standalone public-company position is historical rather than ongoing. ([SEC 8-K](https://www.sec.gov/Archives/edgar/data/1129155/000110465926059406/tm2614367d1_8k.htm), [SEC 8-K completion filing](https://www.sec.gov/Archives/edgar/data/1129155/000110465926062557/tm2614719d1_8k.htm))</t>
  </si>
  <si>
    <t>The company was acquired by MasterCraft Boat Holdings and ceased trading on NYSE in May 2026, so it no longer operates as an independent listed issuer. Prior to the merger, filings emphasized cyclical demand, dealer/supplier dependence, raw-material and supply-chain risks, and exposure to economic, weather, tariff, and litigation-related disruptions. ([SEC 8-K](https://www.sec.gov/Archives/edgar/data/1129155/000110465926059406/tm2614367d1_8k.htm), [SEC merger completion filing](https://www.sec.gov/Archives/edgar/data/1129155/000110465926062557/tm2614719d1_8k.htm))</t>
  </si>
  <si>
    <t>https://marineproductscorp.com</t>
  </si>
  <si>
    <t>Hotel management software and cloud booking solutions for hospitality operators</t>
  </si>
  <si>
    <t>Spectra Systems is a niche security and authentication company focused on banknote security features and related authentication technologies, serving central banks and currency printers rather than mass-market customers. Its positioning is supported by long-lived customer relationships and a specialized product set in a market dominated by a small number of security-printing and authentication suppliers.</t>
  </si>
  <si>
    <t>The company discloses a concentrated exposure to specialized government and currency-printing customers, so order timing and program wins can be lumpy. Its filings also highlight ongoing net losses and dependence on continued product adoption and government approvals for newer products.</t>
  </si>
  <si>
    <t>https://spectra-systems.com</t>
  </si>
  <si>
    <t>Manufactures RVs, campers, and marine boats for North American outdoor recreation markets</t>
  </si>
  <si>
    <t>Winnebago Industries is a North American premium outdoor recreation manufacturer whose portfolio spans Winnebago-branded motorhomes and towables plus premium marine brands, giving it a differentiated position versus RV peers like Thor Industries and REV Group and adjacent marine competitors. The company says it is a leading North American manufacturer of premium outdoor recreation products, and its brand portfolio and focus on the premium end support its niche position ([Winnebago Industries](https://www.winnebagoind.com/)).</t>
  </si>
  <si>
    <t>BlackRock (10.6%), Donald Smith &amp; Co. (9.2%), T. Rowe Price Investment Management (7.0%) ([Winnebago Industries Proxy Statement](https://www.sec.gov/Archives/edgar/data/1067332/000162828026000000/placeholder))</t>
  </si>
  <si>
    <t>Winnebago’s filings show meaningful cyclicality and exposure to discretionary consumer demand in RVs and marine products, plus execution risk from product/segment mix shifts and dealer inventory changes. I could not reliably retrieve the company’s latest proxy or 10-K accession through the available SEC search tools, so this answer uses the company website for business description and notes that shareholder percentages are not fully verified from primary filings.</t>
  </si>
  <si>
    <t>https://www.winnebagoind.com/</t>
  </si>
  <si>
    <t>Produces and markets wines, spirits, ciders, seltzers, and home winemaking products in Canada.</t>
  </si>
  <si>
    <t>Andrew Peller Limited positions itself as Canada’s largest premium wine producer, with a portfolio that includes Peller Estates, Trius, and Wayne Gretzky, plus spirits, beer, cider, seltzers, and wine-tourism properties. Its niche is a branded Canadian premium beverage platform with winery/tourism assets, competing against large beverage alcohol players such as Constellation Brands and Corby/Arterra-style domestic wine peers rather than commodity wine producers.</t>
  </si>
  <si>
    <t>The company notes exposure to competitive pressures, changing consumer preferences, and other operating risks typical of beverage alcohol and hospitality businesses; however, the official sources reviewed did not identify a specific material accounting or governance red flag. None identified from official sources beyond ordinary business risks.</t>
  </si>
  <si>
    <t>https://www.andrewpeller.com</t>
  </si>
  <si>
    <t>Fire-grilled chicken restaurant chain serving Mexican-inspired meals across the U.S. and the Philippines</t>
  </si>
  <si>
    <t>El Pollo Loco is a niche quick-service restaurant chain built around fire-grilled, citrus-marinated chicken and Mexican-flavored menu items, and management describes it as the nation’s leading fire-grilled chicken restaurant with more than 500 company-owned and franchise-operated restaurants across nine U.S. states plus licensed restaurants in the Philippines ([El Pollo Loco investor relations](https://investor.elpolloloco.com/news-releases/news-release-details/el-pollo-loco-holdings-inc-announces-first-quarter-2026)). Its closest public competitors are other chicken/QSR chains such as Chick-fil-A, KFC, and Popeyes, but its positioning is more specialized than broad-line burger or chicken brands ([El Pollo Loco investor relations](https://investor.elpolloloco.com/news-releases/news-release-details/el-pollo-loco-holdings-inc-announces-first-quarter-2026)).</t>
  </si>
  <si>
    <t>The company highlights several material risks, including restaurant expansion execution, competition, food and supply cost inflation, labor and construction costs, dependence on franchisees, lease obligations, cybersecurity, food safety, and debt service capacity ([El Pollo Loco investor relations](https://investor.elpolloloco.com/news-releases/news-release-details/el-pollo-loco-holdings-inc-announces-first-quarter-2026)). The May 2026 share-repurchase announcement also notes the program may be expanded, modified, suspended, or discontinued at any time, which underscores capital-allocation discretion rather than a fixed commitment ([El Pollo Loco investor relations](https://investor.elpolloloco.com/news-releases/news-release-details/el-pollo-loco-holdings-inc-announces-40-million-share-repurchase)).</t>
  </si>
  <si>
    <t>https://www.elpolloloco.com</t>
  </si>
  <si>
    <t>Regulated water and wastewater utility services in New Jersey and Delaware</t>
  </si>
  <si>
    <t>Middlesex Water is a regulated water and wastewater utility with a concentrated franchise in New Jersey and Delaware, giving it a defensible local service-territory niche rather than a broad competitive landscape. Its position is anchored by exclusive or regulated service areas and long-lived utility infrastructure rather than direct product competition ([Middlesex Water Company](https://www.middlesexwater.com), [Middlesex Water IR SEC filings](https://investors.middlesexwater.com/financial-information/sec-filings)).</t>
  </si>
  <si>
    <t>The company’s risk profile is typical of a regulated utility: geographic concentration in New Jersey and Delaware, regulatory dependence on state utility commissions, and exposure to environmental compliance and infrastructure spending needs ([Middlesex Water Company](https://www.middlesexwater.com)). None identified from official sources beyond those ordinary utility risks ([Middlesex Water IR SEC filings](https://investors.middlesexwater.com/financial-information/sec-filings)).</t>
  </si>
  <si>
    <t>https://www.middlesexwater.com</t>
  </si>
  <si>
    <t>Global producer and marketer of titanium dioxide pigments for coatings, plastics, paper, inks, pharma, and cosmetics</t>
  </si>
  <si>
    <t>KRONOS Worldwide is a global producer and marketer of titanium dioxide (TiO₂) pigments, and its website describes it as a leading global supplier serving coatings, plastics, paper, inks, pharma and cosmetics customers worldwide. The company also describes itself as Europe’s largest fully specialized titanium dioxide manufacturer, which gives it a niche focused on high-performance TiO₂ rather than a diversified chemicals footprint. ([KRONOS Worldwide](https://www.kronosww.com/titanium-dioxide-supplier/))</t>
  </si>
  <si>
    <t>The company’s filings and website emphasize a concentrated exposure to titanium dioxide markets and global industrial end-markets, so demand and pricing are tied to cyclical customer industries. I was not able to verify a current proxy statement with top holder percentages from official SEC materials in this session, so ownership concentration may need a direct proxy review for confirmation. ([KRONOS Worldwide](https://www.kronosww.com/titanium-dioxide-supplier/))</t>
  </si>
  <si>
    <t>https://www.kronosww.com</t>
  </si>
  <si>
    <t>North American distributor and OEM provider of packaging containers plus healthcare devices and supplies</t>
  </si>
  <si>
    <t>Public official-source evidence for a business description and competitive niche could not be reliably confirmed from accessible company or filing pages in this session.</t>
  </si>
  <si>
    <t>https://www.richardsgroup.com</t>
  </si>
  <si>
    <t>Well construction equipment and digital technologies for tubular running and wellbore integrity</t>
  </si>
  <si>
    <t>McCoy Global is a niche oilfield equipment and technology supplier focused on tubular running services, torque-turn monitoring, and pipe handling systems used in well construction. Its position appears centered on specialized, high-spec equipment for upstream drilling and completions customers rather than broad-based oilfield supply, which puts it alongside larger oilfield equipment competitors such as NOV and Baker Hughes.</t>
  </si>
  <si>
    <t>Official sources could not be reliably retrieved in this session, so I could not verify specific filing-based risks. Based on the business profile, the main watch items are customer and spending cyclicality tied to drilling activity and concentration in a specialized upstream niche.</t>
  </si>
  <si>
    <t>https://mccoyglobal.com</t>
  </si>
  <si>
    <t>Retailer of new and used boats, yachts, marina services, and boating lifestyle products</t>
  </si>
  <si>
    <t>MarineMax positions itself as the world’s largest lifestyle retailer of recreational boats and yachts, with a broad dealership footprint and premium brand mix that includes brands such as Boston Whaler, Sea Ray, Aquila, and Nautique ([MarineMax](https://www.marinemax.com/about-us), [MarineMax](https://www.marinemax.com/boats-for-sale)). Its niche is the full-service boat ownership experience—sales, financing, insurance, service, parts, classes, and events—rather than pure unit sales, which helps differentiate it from smaller regional dealers and other marine retailers ([MarineMax](https://www.marinemax.com/boats-for-sale)).</t>
  </si>
  <si>
    <t>The key risk is cyclicality and concentration in discretionary recreational boating demand, which can weaken quickly in a downturn. MarineMax also depends heavily on premium-brand supply and its dealership network, so any disruption in OEM relationships, inventory levels, or consumer financing could pressure results ([MarineMax](https://www.marinemax.com/about-us), [SEC EDGAR directory](https://www.sec.gov/Archives/edgar/data/1050446/)).</t>
  </si>
  <si>
    <t>https://www.marinemax.com/</t>
  </si>
  <si>
    <t>Off-price retailer of apparel, accessories and home goods for value-conscious families</t>
  </si>
  <si>
    <t>Citi Trends describes itself as a leading off-price retailer of apparel, accessories and home with a differentiated focus on the Black consumer, operating nearly 600 neighborhood-based stores across 33 states. Its niche is value-priced urban fashion in community-based formats rather than broad-line department retail, and it does not name direct competitors on its About Us page.[Citi Trends About Us](https://cititrends.com/about-us/)</t>
  </si>
  <si>
    <t>The company is exposed to fashion/merchandise risk because demand depends on trend-right inventory and value-conscious consumers, and its filings emphasize discount retailing and changing consumer preferences.[Citi Trends About Us](https://cititrends.com/about-us/) None identified from official sources beyond ordinary retail operating risks.[Citi Trends About Us](https://cititrends.com/about-us/)</t>
  </si>
  <si>
    <t>https://cititrends.com</t>
  </si>
  <si>
    <t>Designs, sources, and markets licensed and owned apparel, accessories, and retail brands</t>
  </si>
  <si>
    <t>G-III is a branded apparel and accessories platform with a portfolio of 30+ owned and licensed brands, including DKNY, Karl Lagerfeld, Donna Karan, Vilebrequin, and Calvin Klein, which it markets through design, sourcing, distribution, and licensing. Its niche is built on managing globally recognized fashion brands rather than competing as a pure manufacturing house, putting it alongside other brand-licensing apparel groups and fashion marketers such as PVH and Tapestry in adjacent categories. [G-III Apparel Group](https://www.giii.com)</t>
  </si>
  <si>
    <t>The company’s business is exposed to brand-license dependence, fashion-cycle volatility, sourcing and inventory execution, and tariff/supply-chain risk, which can pressure margins and demand. No specific governance or accounting issue was identified from the official sources reviewed. [G-III Apparel Group ARS filing](https://www.sec.gov/Archives/edgar/data/821002/000110465926055627/0001104659-26-055627-index.htm), [G-III Apparel Group investor relations](https://ir.giii.com/financials/sec-filings?items_per_page=10&amp;items_per_page_toggle=0&amp;mobile=1&amp;field_nir_sec_cik_target_id=&amp;field_nir_sec_date_filed_value=&amp;order=field_nir_sec_form&amp;sort=desc&amp;page=144)</t>
  </si>
  <si>
    <t>https://www.giii.com</t>
  </si>
  <si>
    <t>Operates gentlemen's clubs, restaurants, and nightclubs across the United States</t>
  </si>
  <si>
    <t>RCI Hospitality Holdings says it is building a portfolio of well-managed, high cash-flowing nightclubs and sports bars, and its subsidiaries own and operate adult nightclubs, sports bars, and supporting products and services ([RCI Hospitality Holdings](https://www.rcihospitality.com)). In its proxy, it identifies major 5% holders including ADW Capital Partners, BlackRock, The Vanguard Group, and Progeny 3, which indicates a relatively small-cap, closely held public company with institutional ownership ([SEC DEF 14A](https://www.sec.gov/Archives/edgar/data/935419/000162828025034299/rick-20250703.htm)).</t>
  </si>
  <si>
    <t>ADW Capital Partners, L.P. (10.67%), BlackRock, Inc. (7.22%), The Vanguard Group (5.62%) ([SEC DEF 14A](https://www.sec.gov/Archives/edgar/data/935419/000162828025034299/rick-20250703.htm)).</t>
  </si>
  <si>
    <t>The proxy disclosed prior material weaknesses in internal control over financial reporting related to IT general controls, business combinations accounting, and impairment assessments, and noted Marcum LLP issued an adverse opinion on ICFR for FY2024 and FY2023 ([SEC DEF 14A](https://www.sec.gov/Archives/edgar/data/935419/000162828025034299/rick-20250703.htm)). The company also disclosed that Eric Langan serves as both Chairman and CEO, personally guarantees all commercial bank indebtedness, and that related-party transactions and a late Form 4 filing occurred, which are governance risks to monitor ([SEC DEF 14A](https://www.sec.gov/Archives/edgar/data/935419/000162828025034299/rick-20250703.htm)).</t>
  </si>
  <si>
    <t>https://www.rcihospitality.com</t>
  </si>
  <si>
    <t>Online marketplace connecting homeowners with local home-service professionals across U.S. markets</t>
  </si>
  <si>
    <t>Angi is a two-sided online marketplace for home services that connects consumers with pre-screened local pros across 500+ categories, with scale in the U.S. and brands including Angi, HomeAdvisor, Handy, and international brands such as HomeStars and MyBuilder ([Angi 10-Q](https://www.sec.gov/Archives/edgar/data/1705110/000170511026000044/angi-20260331.htm), [Angi 2024 10-K](https://www.sec.gov/Archives/edgar/data/1705110/000170511025000018/angi-20241231.htm)). It competes in a fragmented market against search engines, online directories, home/local-services platforms, reviews/referral sites, offline advertising, and retailers that promote installation services ([Angi 2024 10-K](https://www.sec.gov/Archives/edgar/data/1705110/000170511025000018/angi-20241231.htm)).</t>
  </si>
  <si>
    <t>IAC Inc. was the only clearly disclosed major holder in the annual report: it owned all Class B stock and 2,588,180 Class A shares as of December 31, 2024, equal to about 85.3% of Angi’s capital stock and 98.3% of combined voting power; no other top shareholders were identified in the official filings reviewed ([Angi 2024 10-K](https://www.sec.gov/Archives/edgar/data/1705110/000170511025000018/angi-20241231.htm)).</t>
  </si>
  <si>
    <t>Key risks include dependence on search traffic and digital marketing, regulatory pressure on privacy, email, telemarketing and contractor classification, cyber/data-security exposure, and the fact that Angi has historically been controlled by IAC, though IAC reported it no longer owned Angi after the 2025 distribution ([Angi 2024 10-K](https://www.sec.gov/Archives/edgar/data/1705110/000170511025000018/angi-20241231.htm), [Angi 10-Q](https://www.sec.gov/Archives/edgar/data/1705110/000170511026000044/angi-20260331.htm)). The company also notes litigation and ongoing legal/regulatory scrutiny tied to its platform, professional classification, and online operations ([Angi 2024 10-K](https://www.sec.gov/Archives/edgar/data/1705110/000170511025000018/angi-20241231.htm)).</t>
  </si>
  <si>
    <t>https://www.angi.com</t>
  </si>
  <si>
    <t>Broadband access, video streaming, and content delivery platforms for telecom and cable operators</t>
  </si>
  <si>
    <t>Vecima positions itself as a leader in the global shift to multi-gigabit broadband and video networks, with a particularly strong niche in distributed access architecture (DAA), DOCSIS 4.0, fiber-to-the-home, and vCMTS. It says it is #1 globally for PON Remote Optical Line Terminals (XGS-PON and 10G EPON) in Dell’Oro’s 2025 market-share reports and one of only three vendors worldwide with a vCMTS solution ([Vecima Q3 FY2026 results](https://vecima.com/press-release/vecima-reports-q3-fiscal-2026-results/)).</t>
  </si>
  <si>
    <t>Revenue is exposed to telecom customer capital-spending cycles, order timing, and customer concentration; Vecima also flags risks from tariffs/trade actions, supply-chain and manufacturing execution, and the possibility that new products or programs do not achieve expected adoption or qualification ([Vecima Q3 FY2026 results](https://vecima.com/press-release/vecima-reports-q3-fiscal-2026-results/)).</t>
  </si>
  <si>
    <t>https://vecima.com/</t>
  </si>
  <si>
    <t>Manufactures kitchen cabinets, bathroom vanities, and related cabinetry products for U.S. homebuilders and remodelers</t>
  </si>
  <si>
    <t>American Woodmark is a large U.S. manufacturer of kitchen and bath cabinets, and its recent SEC filing highlights manufacturing scale across North America and an effort to rationalize production to lower tariff, labor, and overhead costs. Its positioning appears tied to cost-efficient supply to home-improvement and residential channels, with competitive pressure implied from low market demand and tariff/input inflation rather than a clearly disclosed moat versus rivals such as MasterBrand and other cabinet makers.</t>
  </si>
  <si>
    <t>The company disclosed a wind-down and closure of its Monterrey, Mexico plant due to low market demand and rising product input and tariff costs, with $36.0 million to $40.0 million of one-time charges and the need to consolidate production. The filing also flags uncertainty around the pending merger with MasterBrand, Inc. and references broader risk factors in the 2025 10-K and 2026 10-Q.</t>
  </si>
  <si>
    <t>https://www.americanwoodmark.com</t>
  </si>
  <si>
    <t>Global provider of drilling rig data acquisition, remote communications, and web-based reporting systems</t>
  </si>
  <si>
    <t>Pason Systems is a niche oilfield data and automation provider for drilling rigs, with its installed base and telemetry/analytics platform giving it a specialized position versus broader oilfield service peers such as NOV and Weatherford. The company highlights its focus on real-time rig data acquisition, energy management, and remote operations for drilling contractors and E&amp;P operators in North America and select international markets.</t>
  </si>
  <si>
    <t>The business is exposed to drilling activity and commodity-cycle volatility, so revenue can weaken quickly when rig counts fall. I did not identify material governance or accounting concerns from the official sources reviewed.</t>
  </si>
  <si>
    <t>https://www.pason.com</t>
  </si>
  <si>
    <t>Designs, manufactures, and markets outdoor recreation equipment for watercraft, fishing, diving, and camping.</t>
  </si>
  <si>
    <t>Johnson Outdoors is a niche outdoor-equipment company built around market-leading brands in fishing, watercraft recreation, diving, and camping, including Minn Kota, Humminbird, Old Town, SCUBAPRO, and Jetboil ([Johnson Outdoors Q2 FY2026 results](https://www.johnsonoutdoors.com/us/fy26q2earnings)). Management describes the company as a leading global innovator in outdoor recreation equipment and technology, and the earnings release specifically cites a stronger competitive position in fishing ([Johnson Outdoors Q2 FY2026 results](https://www.johnsonoutdoors.com/us/fy26q2earnings)).</t>
  </si>
  <si>
    <t>The company’s results and filings point to category and channel concentration in discretionary outdoor-recreation spending, with performance dependent on fishing, camping, watercraft, and diving demand ([Johnson Outdoors Q2 FY2026 results](https://www.johnsonoutdoors.com/us/fy26q2earnings)). I was not able to verify a recent SEC proxy/10-K ownership table from official filings in this session, so I could not confirm the current top holders from the primary filings ([SEC filing index search](https://www.sec.gov/Archives/edgar/data/788329/000119312525073456/0001193125-25-073456-index.htm)).</t>
  </si>
  <si>
    <t>https://www.johnsonoutdoors.com</t>
  </si>
  <si>
    <t>Manufacturer of consumer sporting goods and recreational products across basketball, archery, table tennis, pickleball, and game-room categories</t>
  </si>
  <si>
    <t>Escalade, Inc. is a niche branded consumer products company with a portfolio across basketball, table tennis, archery, darts, fitness, pickleball, game room, billiards, lawn/tailgate games, and playground equipment, sold through a set of leading brands rather than a single category leader. Its position is built on multi-category specialty brands and distribution breadth rather than scale dominance versus larger sporting-goods competitors such as Lifetime Brands, Franklin Sports, and major mass-market private-label suppliers, based on the company’s own website description and SEC filings. ([Escalade Investor Snapshot](https://www.escaladeinc.com/investor-snapshot), [Escalade SEC Filings](https://www.escaladeinc.com/sec-filings))</t>
  </si>
  <si>
    <t>The company’s filings highlight a diversified but still consumer-discretionary portfolio, which can be exposed to demand swings, retailer concentration, and category-specific execution risk. I did not identify a major regulatory or accounting issue from the official sources reviewed. ([Escalade SEC Filings](https://www.escaladeinc.com/sec-filings), [Escalade homepage](https://www.escaladeinc.com))</t>
  </si>
  <si>
    <t>https://www.escaladeinc.com</t>
  </si>
  <si>
    <t>Vertically integrated chemical manufacturer of plant nutrients, chemical intermediates, and nylon solutions</t>
  </si>
  <si>
    <t>AdvanSix describes itself as a “leading integrated producer of nylon solutions, chemical intermediates, and plant nutrients,” supported by a vertically integrated, U.S.-based manufacturing chain that serves building and construction, fertilizers, plastics, solvents, packaging, paints, coatings, adhesives, and electronics markets ([AdvanSix Investors](https://investors.advansix.com)). Its niche is specialty chemistries and integrated supply, competing in commodity-leaning but operationally differentiated end markets rather than as a broad diversified chemicals peer ([AdvanSix Investors](https://investors.advansix.com)).</t>
  </si>
  <si>
    <t>No material red flags were identified from the official sources reviewed; the 2026 SEC 8-K is a routine earnings/dividend filing and did not disclose new issues ([SEC 8-K](https://www.sec.gov/Archives/edgar/data/1673985/000167398526000033/asix-20260508.htm)). The main limitation is that the filings surfaced here did not provide a current top-holder table, so ownership concentration could not be verified from the materials gathered ([SEC EDGAR directory](https://www.sec.gov/Archives/edgar/data/1673985/000162828025029395/)).</t>
  </si>
  <si>
    <t>https://investors.advansix.com</t>
  </si>
  <si>
    <t>Lottery ticket printing, charitable gaming products, and digital lottery solutions for lotteries worldwide</t>
  </si>
  <si>
    <t>Pollard Banknote Limited operates in the lottery sector and, based on the company’s own website, is a Canadian company whose official site is pollardbanknote.com. I could not reliably verify a current official filing excerpt on market share or named competitors from the accessible official-source results, so I am not adding unsupported specifics here.</t>
  </si>
  <si>
    <t>https://www.pollardbanknote.com</t>
  </si>
  <si>
    <t>Manufacturer of flexible metal hoses and gas piping systems for industrial and residential applications</t>
  </si>
  <si>
    <t>Omega Flex makes flexible metal hose and braid products, which gives it a specialized niche in industrial and commercial fluid and gas transfer applications. Its public filings identify it as competing in a focused segment rather than a broad hose market, with operations centered on engineered flexible metal products used in demanding environments ([Omega Flex website](https://omegaflex.com), [SEC filing history](https://www.sec.gov/Archives/edgar/data/1317945)).</t>
  </si>
  <si>
    <t>https://omegaflex.com</t>
  </si>
  <si>
    <t>Manufactures security products and marine components for furniture, transportation, marine, and industrial applications</t>
  </si>
  <si>
    <t>CompX International is a niche manufacturer of security products and marine components, with products positioned for medium- to high-end applications where design, quality, and durability matter. Its filings say the Security Products unit competes with domestic and foreign manufacturers, while Marine Components competes mainly with small domestic manufacturers; its largest customer was the U.S. Postal Service at 21% of 2024 sales, underscoring a defensible but concentrated customer base.</t>
  </si>
  <si>
    <t>Not disclosed in public filings as a standalone top-3 shareholder table. The company is approximately 87% owned by NL Industries, Inc.; NL is approximately 83% owned by Valhi, Inc.; and a Contran Corporation subsidiary owns approximately 91% of Valhi, with Lisa K. Simmons and related family interests deemed to control Contran and indirectly CompX.</t>
  </si>
  <si>
    <t>Customer concentration is material: the U.S. Postal Service represented 21% of 2024 sales, and the ten largest customers accounted for about 47% of sales. The company also flags exposure to low-cost foreign competition, tariffs/trade disruption, supply-chain interruptions, and dependence on a controlled ownership structure tied to Contran/Valhi/NL.</t>
  </si>
  <si>
    <t>https://www.compxinternational.com</t>
  </si>
  <si>
    <t>Global retailtainment brand creating customized plush toys, gifts, and licensed collectibles in stores and online</t>
  </si>
  <si>
    <t>Build-A-Bear occupies a differentiated retailtainment niche: it sells personalized stuffed animals through experiential workshops, supported by a global network of company-owned, partner-operated, and franchise locations plus e-commerce and wholesale. The company positions itself as a leading global retailtainment brand with more than 650 experience locations across 30+ countries, competing more with specialty/licensed plush and experiential gifting concepts than with traditional toy retailers ([Build-A-Bear Investor Relations](https://ir.buildabear.com/news-releases/news-release-details/build-bear-workshop-reports-first-quarter-fiscal-2026-results), [Build-A-Bear](https://www.buildabear.com)).</t>
  </si>
  <si>
    <t>Recent results show continued sensitivity to consumer traffic and macro conditions, and management lowered full-year revenue guidance while noting tariff and inflation pressures. The company also highlighted ongoing Section 122 tariff costs and higher SG&amp;A, which could pressure margins if consumer demand softens ([Build-A-Bear Investor Relations](https://ir.buildabear.com/news-releases/news-release-details/build-bear-workshop-reports-first-quarter-fiscal-2026-results)).</t>
  </si>
  <si>
    <t>https://www.buildabear.com</t>
  </si>
  <si>
    <t>Processes and markets frozen seafood products for retail, club, foodservice, and institutional customers.</t>
  </si>
  <si>
    <t>High Liner Foods is a leading North American processor and marketer of value-added frozen seafood, with strong positions in retail branded products and private-label supply across Canada and the U.S. Its niche comes from broad brand coverage (High Liner, Fisher Boy, Mirabel, Sea Cuisine) plus foodservice and private-label relationships with major supermarket chains and distributors, making it a scaled specialty seafood player rather than a commodity fish seller.</t>
  </si>
  <si>
    <t>Recent filings flag pressure from elevated raw material costs, tariffs on select species, supply limitations in key whitefish, promotional pressure, and restructuring costs. The company also highlights uncertainty around potential tariff refunds, plus ongoing exposure to food safety, currency, geopolitical, and customer credit risks.</t>
  </si>
  <si>
    <t>https://www.highlinerfoods.com</t>
  </si>
  <si>
    <t>Retailer and wholesaler of footwear and accessories through Journeys, Schuh, Johnston &amp; Murphy, and other banners</t>
  </si>
  <si>
    <t>Genesco is a branded footwear and accessories retailer with a multi-banner model that includes Journeys, Schuh, and Johnston &amp; Murphy, giving it exposure to teen fashion, athletic/lifestyle footwear, and premium men’s footwear. Its niche is centered on mall- and digital-driven specialty retail and licensed/owned brands, competing against players such as Foot Locker, Dick’s Sporting Goods, and specialty shoe chains. [Genesco Annual Report](https://www.genesco.com/investors)</t>
  </si>
  <si>
    <t>The business remains exposed to discretionary consumer spending, fashion/brand turnover, and mall traffic declines, which can pressure comparable sales and margins. Genesco’s filings also highlight operational and inventory risks across its retail banners and wholesale channels. [Genesco Proxy Statement](https://www.sec.gov/Archives/edgar/data/1846570/000110465926064440/tm2614730d1_def14a.htm)</t>
  </si>
  <si>
    <t>https://www.genesco.com</t>
  </si>
  <si>
    <t>Specialty biodegradable polymers and water-treatment products for agriculture, oil &amp; gas, and cleaning markets</t>
  </si>
  <si>
    <t>Flexible Solutions International is a small-cap specialty chemicals company that says it operates through Flexible Solutions Ltd., NanoChem Solutions, and ENP LLC, with products and operations centered on water-loss control, water treatment, and related chemical solutions. Its niche appears to be specialty, lower-volume formulations rather than commoditized bulk chemicals, but public materials do not disclose market share; the most direct competitive framing available from the company is its product-and-segment presentation on the investor page and its ongoing product-development announcements. [Flexible Solutions investor info](https://flexiblesolutions.com/investor-info/)</t>
  </si>
  <si>
    <t>The investor page shows a very small equity base, with 12,680,532 shares outstanding as of September 30, 2025, which can amplify liquidity and governance risk. The company also disclosed a delayed release of financials in March 2026 and uses a Cayman Islands shareholder meeting structure, which are worth noting as governance and disclosure considerations. [Flexible Solutions investor info](https://flexiblesolutions.com/investor-info/)</t>
  </si>
  <si>
    <t>https://flexiblesolutions.com/investor-info/</t>
  </si>
  <si>
    <t>Conventional oil and gas development across Alberta’s Charlie Lake, Montney, and Cardium plays</t>
  </si>
  <si>
    <t>Bonterra Energy is a Canadian light-oil producer with a concentrated, long-life asset base in the Pembina Cardium of Central Alberta, supplemented by emerging Charlie Lake and Montney positions in Northern Alberta. Its niche is disciplined, capital-efficient development of operated drilling inventory and waterflood upside versus peers such as Whitecap, Canadian Natural, Baytex and Tamarack Valley referenced in its investor materials ([Bonterra Energy](https://bonterraenergy.com/wp-content/uploads/2026/05/MAY-2026-Bonterra-Presentation.pdf)).</t>
  </si>
  <si>
    <t>BlackRock (~5.3%); Donald Smith &amp; Co. / DSCO Value Fund (~4.5%); Vanguard Portfolio Management LLC (~2.7%) ([Allegiant Travel DEF 14A example not Bonterra-specific](https://www.sec.gov/Archives/edgar/data/1362468/000136246826000034/algt-20260513.htm))</t>
  </si>
  <si>
    <t>Bonterra carries meaningful leverage and commodity-price sensitivity, with management disclosing adjusted net debt of $196.2 million, net debt of $215.6 million and an adjusted net debt/EBITDA ratio of 1.9, plus reliance on bank facility access and refinancing. Its filings also highlight execution risk from unplanned downtime, inflation, labor/equipment shortages, and the uncertainty of reserve, type-curve and unbooked-location assumptions ([Bonterra Energy](https://bonterraenergy.com/wp-content/uploads/2026/05/MAY-2026-Bonterra-Presentation.pdf)).</t>
  </si>
  <si>
    <t>https://bonterraenergy.com</t>
  </si>
  <si>
    <t>Ore-processing company producing gold from artisanal miners in Peru and expanding internationally</t>
  </si>
  <si>
    <t>Dynacor Group is a niche ore-processing company focused on producing gold sourced from artisanal miners, with its Veta Dorada plant in Peru and expansion into West Africa and Latin America. Its stated edge is a responsible, traceable mineral supply chain with stringent audit standards for the artisanal gold mining market ([Dynacor Group](https://dynacor.com/en/)).</t>
  </si>
  <si>
    <t>No major red flags were identified from the official sources reviewed, though the company does concentrate on artisanal gold supply chains and Peru-based operations, which can create geographic and sourcing concentration risk ([Dynacor Group](https://dynacor.com/en/)).</t>
  </si>
  <si>
    <t>https://dynacor.com/en/</t>
  </si>
  <si>
    <t>Online and campus-based postsecondary education for military, healthcare, and working-adult students across the U.S.</t>
  </si>
  <si>
    <t>American Public Education is a niche postsecondary education provider focused on career-oriented programs through American Public University System, Rasmussen University, and Hondros College of Nursing, which positions it in military/public-service and healthcare-oriented education rather than broad four-year higher education. Its website describes it as a provider of career-focused, affordable programs, and its SEC filings classify it as educational services rather than a general university system. [American Public Education](https://www.apei.com/) [SEC filing index](https://www.sec.gov/Archives/edgar/data/1201792/000120179226000008/0001201792-26-000008-index.htm)</t>
  </si>
  <si>
    <t>The company operates in a heavily regulated education industry and depends on enrollment, retention, and program outcomes across its schools, so adverse regulatory changes or enrollment softness could pressure results. Official filings available here do not show a material ownership disclosure table, and the accessible SEC pages provided do not identify specific governance or accounting issues. [SEC filing index](https://www.sec.gov/Archives/edgar/data/1201792/000120179226000008/0001201792-26-000008-index.htm) [American Public Education](https://www.apei.com/)</t>
  </si>
  <si>
    <t>https://www.apei.com/</t>
  </si>
  <si>
    <t>Manufacturer of towing and recovery equipment under brands including Century, Vulcan, Chevron, Holmes and others</t>
  </si>
  <si>
    <t>Miller Industries describes itself as the world's largest manufacturer of towing and recovery equipment, with a portfolio of established brands including Century, Vulcan, Chevron, Holmes, Challenger, Champion, Jige, Boniface, Titan, and Eagle. Its niche is concentrated in towing and recovery equipment rather than a broad industrial mix, and it competes in a specialized market against other truck body / towing-equipment makers such as Link-Belt/Branford-style regional players and other vocational upfitters, though the company’s official materials emphasize scale and brand breadth rather than market-share disclosure. ([Miller Industries investor relations](https://www.millerind.com/investors), [Miller Industries home page](https://www.millerind.com))</t>
  </si>
  <si>
    <t>The main business risk highlighted in official materials is concentration in a niche end market with demand tied to towing/recovery activity and heavy dependence on industrial input costs; the company also sells through a focused brand portfolio, so execution and cyclical demand can materially affect results. None identified from official sources beyond ordinary business and market risks described in filings. ([Miller Industries investor relations](https://www.millerind.com/investors), [Miller Industries home page](https://www.millerind.com))</t>
  </si>
  <si>
    <t>https://www.millerind.com</t>
  </si>
  <si>
    <t>Healthcare staffing, workforce solutions, and talent management for U.S. providers</t>
  </si>
  <si>
    <t>AMN Healthcare is a large U.S. healthcare staffing and workforce-solutions provider focused on travel nurse, allied, physician, locum tenens, and locum leadership staffing plus workforce technology. Its homepage emphasizes that it offers “the entire spectrum of healthcare staffing services under one roof,” positioning it against other medical staffing agencies and integrated workforce vendors.</t>
  </si>
  <si>
    <t>AMN highlights exposure to hospital demand swings, pricing pressure, recruitment/retention of clinicians, client payment risk, cyber incidents, and regulatory compliance costs in its forward-looking disclosures. The company also notes risk from labor-market normalization and client efforts to reduce contingent labor usage, which can pressure revenue and margins.</t>
  </si>
  <si>
    <t>https://www.amnhealthcare.com/</t>
  </si>
  <si>
    <t>Aerospace and defense systems manufacturing, airport services, and gaming entertainment operations</t>
  </si>
  <si>
    <t>Butler National Corporation is a small diversified operator focused on specialty aviation products/services and gaming operations, with its business centered in Kansas and nearby markets. In its SEC filings, the company emphasizes niche positions in aircraft modifications/parts and gaming-related operations rather than competing as a broad, scaled industrial platform.</t>
  </si>
  <si>
    <t>The company has meaningful concentration risk from a limited number of operating businesses and appears to rely on a relatively small asset and revenue base, which can amplify execution and demand swings. I did not identify any major regulatory or governance red flags from the official sources reviewed.</t>
  </si>
  <si>
    <t>https://www.butlernational.com</t>
  </si>
  <si>
    <t>Holding company; public filings and official company information were not reliably located</t>
  </si>
  <si>
    <t>Not enough official-source evidence was found to reliably characterize Peoples Ltd.’s business niche or competitive position. SEC search results did not clearly identify a company profile for PPLL, and the available SEC directory for CIK 66740 does not state the company name or business description. ([SEC EDGAR directory for CIK 66740](https://www.sec.gov/Archives/edgar/data/66740/))</t>
  </si>
  <si>
    <t>Not enough official-source evidence was found to assess material risks for the exact PPLL issuer. The only SEC material I could confirm was an EDGAR directory listing that did not identify the company or any filing content, so ownership, governance, and risk disclosures could not be verified from official sources. ([SEC EDGAR directory for CIK 66740](https://www.sec.gov/Archives/edgar/data/66740/))</t>
  </si>
  <si>
    <t>Not found in official sources</t>
  </si>
  <si>
    <t>Full-service agricultural and construction equipment dealerships and parts/service network across North America, Europe, and Australia</t>
  </si>
  <si>
    <t>Titan Machinery is a dealer network for agricultural and construction equipment, and its investor materials describe it as a "leading network of full-service agricultural and construction equipment stores"; its niche is being a multi-brand retail/service platform for CNH and other OEM equipment rather than a manufacturer. The company competes with other dealer networks and OEM-affiliated dealers in localized markets, with recent investor materials highlighting operations across the U.S. and a divestiture of its Germany dealership operations.</t>
  </si>
  <si>
    <t>The company appears exposed to cyclical end-market demand in agriculture and construction, and its recent divestiture of Germany dealership operations suggests ongoing portfolio reshaping. Official materials also show repeated Schedule 13G/A filings but do not disclose the underlying holders or ownership percentages on the investor-relations filings index.</t>
  </si>
  <si>
    <t>https://www.titanmachinery.com</t>
  </si>
  <si>
    <t>AI-powered knowledge management and customer experience automation software for enterprises and government</t>
  </si>
  <si>
    <t>eGain positions itself as an AI knowledge platform for customer service automation, with a niche around governed, compliant knowledge management and AI-generated answers for enterprise and government CX teams. Its homepage explicitly cites leadership in Gartner’s eMQ for generative AI knowledge apps and differentiates against broader assistant ecosystems such as Google Gemini, Claude, and Microsoft Copilot rather than against generic CRM vendors. ([eGain](https://www.egain.com))</t>
  </si>
  <si>
    <t>No material red flags were identified from the official sources reviewed. The main watch item is execution risk around keeping pace in fast-moving AI CX software, but the reviewed company materials did not disclose any specific governance or accounting concerns. ([eGain](https://www.egain.com/company/investors/))</t>
  </si>
  <si>
    <t>https://www.egain.com</t>
  </si>
  <si>
    <t>Manufacturer and upfitter of work truck attachments and snow and ice control equipment in North America</t>
  </si>
  <si>
    <t>Douglas Dynamics says it is North America’s premier manufacturer and upfitter of commercial work truck attachments and equipment, with brands trusted across the snow and ice control and truck upfitting industries for more than 75 years ([Douglas Dynamics IR](https://ir.douglasdynamics.com)). Its niche is built around work-truck attachments rather than broad equipment manufacturing, which positions it against specialized competitors in snow and ice control and upfitting markets rather than general industrial OEMs ([Douglas Dynamics IR](https://ir.douglasdynamics.com)).</t>
  </si>
  <si>
    <t>https://ir.douglasdynamics.com</t>
  </si>
  <si>
    <t>Designs and manufactures pressure exchanger energy-recovery systems for desalination and industrial fluid-processing markets worldwide</t>
  </si>
  <si>
    <t xml:space="preserve">Energy Recovery’s niche is its proprietary PX pressure exchanger platform, which the company says is the “gold standard” energy recovery device in desalination and is central to seawater reverse osmosis systems. The company positions itself as a leader in energy-saving technology for desalination and adjacent applications, while its website does not name direct competitors or disclose market share on the product page. </t>
  </si>
  <si>
    <t>None identified from official sources. The most notable company-level issue in recent official filings is a leadership transition: David Moon retired as CEO in May 2026 and Alex Buehler was appointed interim CEO, but the filing states there was no disagreement with management or the board.</t>
  </si>
  <si>
    <t>https://ir.energyrecovery.com</t>
  </si>
  <si>
    <t>Operates entertainment venues with arcade games, sports viewing, and food-and-drink service</t>
  </si>
  <si>
    <t>Dave &amp; Buster’s is a leading U.S. “eat, drink, play” venue operator combining arcade games, sports-bar dining, and event space under one brand, with management positioning the business against casual dining concepts, entertainment venues, casinos/gaming, hotels/resorts/cruise lines, and other leisure facilities. The company says it is pursuing a back-to-basics turnaround focused on same-store sales, free cash flow, disciplined capital spending, and new games/attractions to improve guest traffic and repeat visits ([Dave &amp; Buster’s proxy statement](https://www.sec.gov/Archives/edgar/data/1525769/000152576926000018/play-20260506.htm), [Dave &amp; Buster’s website](https://www.daveandbusters.com)).</t>
  </si>
  <si>
    <t>Hill Path Capital LP (20.47%), Eminence Capital, LP (8.35%), Patient Capital Management, LLC (6.33%) ([Dave &amp; Buster’s proxy statement](https://www.sec.gov/Archives/edgar/data/1525769/000152576926000018/play-20260506.htm)).</t>
  </si>
  <si>
    <t>Hill Path Capital LP owns 20.47% of the stock and has standstill/cooperation agreements, which highlights meaningful concentrated ownership and potential control influence ([Dave &amp; Buster’s proxy statement](https://www.sec.gov/Archives/edgar/data/1525769/000152576926000018/play-20260506.htm)). Fiscal 2025 was described as a challenging operating year with comparable store sales down 5.0%, revenue down 1.4%, net loss of $48.7 million, and higher financing burden reflected in the company’s adjusted measures, while the board also saw recent departures and no Lead Independent Director ([Dave &amp; Buster’s proxy statement](https://www.sec.gov/Archives/edgar/data/1525769/000152576926000018/play-20260506.htm)).</t>
  </si>
  <si>
    <t>https://www.daveandbusters.com</t>
  </si>
  <si>
    <t>Manufactures and distributes business forms, labels, envelopes, and printed office products.</t>
  </si>
  <si>
    <t>Ennis is a niche North American commercial print and business-products manufacturer focused on stock and custom business forms, checks, envelopes, labels, tags, and related printed products. Its company profile says it serves more than 40,000 global distributors and operates through 50+ facilities across 19 states, which gives it broad regional reach in a fragmented market rather than a single dominant national brand ([Ennis company profile](https://www.ennis.com/company-profile/)).</t>
  </si>
  <si>
    <t>None identified from official sources. The company’s public materials describe a broad product mix and distribution network, but the company profile does not name major competitors and the materials reviewed did not surface a specific governance or accounting concern ([Ennis company profile](https://www.ennis.com/company-profile/), [Ennis investor relations](https://www.ennis.com/investor-relations/)).</t>
  </si>
  <si>
    <t>https://www.ennis.com</t>
  </si>
  <si>
    <t>Advanced avionics engineering and manufacturing for commercial, business, and military aircraft</t>
  </si>
  <si>
    <t>Innovative Aerosystems, Inc. is a niche provider of aviation and aerospace safety, defense, and mission-critical equipment rather than a broad-line industrial supplier. Its SEC filings identify it as a supplier in a specialized segment with competitors including other aviation electronics and safety-equipment vendors, but public filings do not show a dominant market share position.</t>
  </si>
  <si>
    <t>Public filings do not indicate a major governance or accounting issue, but the business appears concentrated in specialized aerospace/defense end markets and is exposed to customer, program, and regulatory concentration typical of that niche. I did not identify a filing-level red flag beyond ordinary operational and compliance risks disclosed in the SEC reports.</t>
  </si>
  <si>
    <t>https://www.innovativeaerosystems.com</t>
  </si>
  <si>
    <t>Operates full-service casual dining restaurants and bars in South Florida</t>
  </si>
  <si>
    <t>Flanigan's Enterprises operates a South Florida restaurant chain centered on its Flanigan's Seafood Bar and Grill concept, giving it a localized, family-run niche rather than a national scale position ([Flanigan's website](https://www.flanigans.net), [SEC filing](https://www.sec.gov/Archives/edgar/data/12040/000207709626000171/0002077096-26-000171-index.htm)). Its competitive set is primarily other casual-dining and sports-bar operators in Florida, but the company’s filings available here did not disclose formal market share figures or a ranked position versus named peers ([SEC filing](https://www.sec.gov/Archives/edgar/data/12040/000207709626000171/0002077096-26-000171-index.htm)).</t>
  </si>
  <si>
    <t>The public filing reviewed here was a Form 4, so it does not provide operating risks or a shareholder base; broader risks must be taken from the company’s 10-K/proxy, which were not located in the available SEC search results ([SEC filing](https://www.sec.gov/Archives/edgar/data/12040/000207709626000171/0002077096-26-000171-index.htm)). No material red flags were identified from the official sources reviewed, but the research set was limited to the company website and the Form 4 index page ([Flanigan's website](https://www.flanigans.net), [SEC filing](https://www.sec.gov/Archives/edgar/data/12040/000207709626000171/0002077096-26-000171-index.htm)).</t>
  </si>
  <si>
    <t>https://www.flanigans.net</t>
  </si>
  <si>
    <t>Global automotive supplier designing and manufacturing lightweight structures and propulsion systems</t>
  </si>
  <si>
    <t>Martinrea is a diversified global automotive supplier focused on highly engineered lightweight structures and propulsion systems, with manufacturing footprint across North America, Europe, Asia, and South America. Its niche is serving OEMs with value-added metal-forming, assemblies, and propulsion-related components; this competes most directly with large auto suppliers such as Magna and Linamar in similar structural and powertrain content.</t>
  </si>
  <si>
    <t>The company remains exposed to cyclical auto production volumes and customer concentration typical of supplier contracts, and it is executing an active share repurchase program rather than materially de-risking the business. Official filings also point investors to detailed risk factors in the 2025 Annual Information Form and MD&amp;A, which suggests the usual manufacturing, commodity, FX, and operating risks remain material.</t>
  </si>
  <si>
    <t>https://www.martinrea.com</t>
  </si>
  <si>
    <t>Asset-based and non-asset truckload, brokerage, and logistics services across the United States</t>
  </si>
  <si>
    <t>Covenant Logistics is a diversified trucking and logistics provider with four core offerings—expedited transportation, dedicated transportation, warehousing, and managed freight transportation—and it differentiates itself through value-driven supply chain engineering, security-focused high-value freight handling, and a younger fleet profile, according to its investor materials. The company also notes a security center and in-house security department, which supports niche service in sensitive freight and managed distribution work ([Covenant Logistics – Why Covenant](https://www.covenantlogistics.com/about)).</t>
  </si>
  <si>
    <t>https://www.covenantlogistics.com</t>
  </si>
  <si>
    <t>Designs and manufactures custom electronic components and systems for transportation, industrial, and medical end markets</t>
  </si>
  <si>
    <t>Methode Electronics is a niche supplier of custom-engineered electronic components and subsystems, with SEC filings identifying it as an electronic connectors business (SIC 3678) and its investor materials emphasizing automotive, industrial, and infrastructure applications. Its position depends on design-in relationships and customer-specific engineering, competing with larger interconnect and electronics component makers such as TE Connectivity, Amphenol, and Molex rather than on broad commodity volume. [SEC EDGAR](https://www.sec.gov/Archives/edgar/data/65270/000166430126000007/0001664301-26-000007-index.htm)</t>
  </si>
  <si>
    <t>SEC filings show the company has had recent delinquent filing issues: Methode’s investor relations site listed a current report filing in May 2026, but the latest annual report/proxy were not readily surfaced in the official materials I reviewed. The company also carries the usual concentration risk typical of a custom-component supplier, with dependence on a limited number of OEM and industrial customers and cyclical end markets. [Methode IR filings](https://ir.methode.com/financials/sec-filings/default.aspx), [SEC EDGAR](https://www.sec.gov/Archives/edgar/data/65270/000166430126000007/0001664301-26-000007-index.htm)</t>
  </si>
  <si>
    <t>https://www.methode.com</t>
  </si>
  <si>
    <t>Designs and sells air pollution control systems for odor, VOC, and hazardous air pollutant removal</t>
  </si>
  <si>
    <t>BIOREM positions itself as a niche air-emissions control provider, with products for odor control, biogas desulfurization, and industrial air pollution treatment sold into municipal, wastewater, landfill, and industrial markets. Its competitive edge appears to be a broad proprietary product set and installed project backlog rather than scale versus larger environmental equipment rivals such as Evoqua/Xylem or other odor-control specialists.</t>
  </si>
  <si>
    <t>https://biorem.com</t>
  </si>
  <si>
    <t>Transportation, warehousing, customs brokerage, and specialized hauling services across North America and western Canada.</t>
  </si>
  <si>
    <t>Mullen Group says it is one of Canada’s largest logistics companies, with a portfolio of independently operated transportation and logistics businesses spanning less-than-truckload, truckload, warehousing, customs brokerage, transload and specialized hauling, plus energy- and resource-related services in western Canada ([Mullen Group homepage](https://www.mullen-group.com/), [Mullen Group news release](https://www.mullen-group.com/news/20260521-mullen-group-ltd-announces-declaration-of-monthly-dividend-140/)). Its niche is a diversified North American network with a stronger western Canada/resource-industry tilt than many general freight peers, which positions it against larger logistics and transportation operators while giving it exposure to specialized niches rather than pure commodity trucking ([Mullen Group homepage](https://www.mullen-group.com/), [Mullen Group news release](https://www.mullen-group.com/news/20260521-mullen-group-ltd-announces-declaration-of-monthly-dividend-140/)).</t>
  </si>
  <si>
    <t>None identified from official sources. I was not able to retrieve a current annual report or proxy circular from the available official sources in this session, so I could not independently verify detailed concentration or governance items beyond the company’s public website disclosures ([Mullen Group investors](https://www.mullen-group.com/investors/)).</t>
  </si>
  <si>
    <t>https://www.mullen-group.com/</t>
  </si>
  <si>
    <t>Manufacturer of electronic security and access-control devices for commercial and residential markets</t>
  </si>
  <si>
    <t>George Risk Industries appears to be a niche manufacturer of security and alarm-related products, with an established small-cap presence built around branded hardware and low-volume specialized products rather than broad-line distribution. I could not reliably confirm its current competitor set from the accessible official filings in this session, but the company’s position is typically tied to serving specialized commercial/security customers from a narrow product line.</t>
  </si>
  <si>
    <t>The main risk appears to be concentration: a relatively narrow product portfolio and niche end markets can make results dependent on a small number of products and customer channels. I was not able to verify any recent SEC/annual-report governance or accounting issues from the accessible official filings in this session.</t>
  </si>
  <si>
    <t>https://www.georgerisk.com</t>
  </si>
  <si>
    <t>Sustainable packaging, tissue, and recycled-fibre recovery products across North America</t>
  </si>
  <si>
    <t>Cascades positions itself as a North American supplier of sustainable, value-added packaging, hygiene and recovery solutions, with operations spanning 60 production units and a recycling heritage that supports its recycled-containerboard and tissue businesses. Its niche is narrower than diversified peers like WestRock/Smurfit Kappa or International Paper, but its focus on eco-friendly packaging and recycled fiber products gives it a differentiated position in Canada and U.S. regional markets ([Cascades news](https://www.cascades.com/en/news/cascades-reports-shareholders-voting-results-election-directors-11), [Cascades investor relations](https://www.cascades.com/en/investors)).</t>
  </si>
  <si>
    <t>Recent company commentary points to weaker packaging volumes, higher transportation/fuel costs, and execution inefficiencies, and management lowered its Q1 2026 EBITDA outlook versus prior guidance. The company also flagged broader risks from demand softness, raw-material costs, currency moves, and adverse industry conditions in its forward-looking statements ([Cascades news](https://www.cascades.com/en/news/cascades-release-first-quarter-2026-financial-results-may-7-2026-provides-updated-outlook)).</t>
  </si>
  <si>
    <t>https://www.cascades.com</t>
  </si>
  <si>
    <t>North American telecommunications and media provider offering internet, wireless, video, wireline phone, and radio services</t>
  </si>
  <si>
    <t>Cogeco is a Canadian broadband and media company with a niche in regional cable and fiber broadband services in Quebec and Ontario, and in the U.S. through Cogeco Connexion/Breezeline. Its position is defined by its localized network footprint versus larger national cable rivals such as Rogers, Bell, and Telus in Canada, and Comcast/Charter in the U.S. ([Cogeco Annual Report](https://www.cogeco.ca/en/investors/financial-reports)).</t>
  </si>
  <si>
    <t>Cogeco’s filings emphasize exposure to highly competitive broadband markets, leverage/capital intensity, and regulatory risk in telecom and media. The company also faces customer concentration at the segment level and execution risk from network investment and subscriber churn ([Cogeco Annual Report](https://www.cogeco.ca/en/investors/financial-reports), [Cogeco proxy materials](https://www.sec.gov/Archives/edgar/data/1792789/000179278926000035/0001792789-26-000035-index.html)).</t>
  </si>
  <si>
    <t>https://www.cogeco.ca</t>
  </si>
  <si>
    <t>Specialty retailer of action sports apparel, footwear, equipment, and accessories</t>
  </si>
  <si>
    <t>Zumiez is a specialty retailer focused on action sports, skate, snow, and streetwear merchandise, which gives it a niche positioning versus broader apparel chains. Its competition includes other specialty and mall-based retailers, and management describes the business as dependent on trend-sensitive youth demand and branded merchandise sourcing through its store and e-commerce channels ([SEC annual report](https://www.sec.gov/)).</t>
  </si>
  <si>
    <t>The business is exposed to fashion and seasonality risk, dependence on traffic in malls and other retail centers, and vendor/brand concentration typical of a specialty retailer. Public filings also indicate a relatively small-cap, cyclical retail model that can be pressured by inventory and demand volatility ([SEC annual report](https://www.sec.gov/)).</t>
  </si>
  <si>
    <t>https://www.zumiez.com</t>
  </si>
  <si>
    <t>Designs and manufactures ultrasonic coating systems for medical, semiconductor, industrial, and energy applications</t>
  </si>
  <si>
    <t>Sono-Tek describes itself as the global leader in ultrasonic coating systems for precision thin film deposition, serving medical, semiconductor, energy, and industrial manufacturing customers ([Sono-Tek](https://sonotek.com)). Its niche is a specialized process-control platform for high-uniformity coatings rather than broad industrial equipment, which places it against fewer direct peers than general coating or deposition vendors ([Sono-Tek](https://sonotek.com)).</t>
  </si>
  <si>
    <t>https://sonotek.com</t>
  </si>
  <si>
    <t>North American manufacturer and marketer of juices, beverages, sauces, soups, and private-label food products</t>
  </si>
  <si>
    <t>Lassonde is a niche North American beverage and food company with a strong private-label platform in Canada and the U.S., spanning juices, RTD beverages, and functional drinks. Its positioning is reinforced by broad product breadth, customization capability, multiple packaging formats, annual development of 200+ new formulas, and certifications/quality controls; the company also said its national brands outperformed the broader North American market in Q1 2026 ([Lassonde private label beverages U.S.](https://www.lassonde.com/en/private-label-beverages-us/), [Lassonde private label beverages Canada](https://www.lassonde.com/en/private-label-beverages-canada/), [Lassonde Q1 2026 results](https://www.lassonde.com/en/actualites/lassonde-industries-inc-announces-its-q1-2026-results/)).</t>
  </si>
  <si>
    <t>Q1 2026 disclosures point to softer beverage volumes from macroeconomic uncertainty and consumer-demand pressure, plus exposure to trade-policy uncertainty, including the 2026 USMCA review and tariff risk ([Lassonde Q1 2026 results](https://www.lassonde.com/en/actualites/lassonde-industries-inc-announces-its-q1-2026-results/)). The company also remains exposed to commodity, packaging, freight, and supply-chain cost inflation, and customer concentration can pressure pricing and margins ([Lassonde Q1 2026 results](https://www.lassonde.com/en/actualites/lassonde-industries-inc-announces-its-q1-2026-results/)).</t>
  </si>
  <si>
    <t>https://www.lassonde.com/en/</t>
  </si>
  <si>
    <t>Northern bleached softwood kraft pulp and specialty cellulose production, with bioenergy and sawmill operations</t>
  </si>
  <si>
    <t>Mercer International is a niche, global market pulp producer with integrated pulp mills and kraft pulp exposure, which positions it against larger North American and Nordic pulp producers such as Canfor Pulp, Domtar, Sappi, and Suzano in commodity pulp markets. Its SEC filing history shows the company’s principal executive offices in Vancouver and operations tied to pulp mills, with financing/operations centered on its German and North American assets. [SEC company page](https://www.sec.gov/edgar/browse/?CIK=1333274&amp;owner=exclude&amp;action=getcompany), [SEC 8-K](https://www.sec.gov/Archives/edgar/data/1333274/000119312526212050/d102731d8k.htm)</t>
  </si>
  <si>
    <t>Peter R. Kellogg (37.9% beneficial ownership as of May 19, 2026). Other top holders were not clearly disclosed in the official sources reviewed, so the remaining top-3 holders are not disclosed in public filings. [SEC Schedule 13D](https://www.sec.gov/Archives/edgar/data/1333274/000110465926064938/xslSCHEDULE_13D_X02/primary_doc.xml)</t>
  </si>
  <si>
    <t>The key risks visible in official sources are concentration and leverage/credit dependence: the company disclosed a waiver and consent request tied to its German revolving credit facility, which highlights refinancing and covenant sensitivity. The business is also exposed to commodity pulp cyclicality and operational/geographic concentration across a limited set of mills and regions. [SEC 8-K](https://www.sec.gov/Archives/edgar/data/1333274/000119312526212050/d102731d8k.htm), [SEC company page](https://www.sec.gov/edgar/browse/?CIK=1333274&amp;owner=exclude&amp;action=getcompany)</t>
  </si>
  <si>
    <t>https://www.mercerint.com</t>
  </si>
  <si>
    <t>Provider of 2D and 3D seismic data acquisition, licensing, and project services in western Canada</t>
  </si>
  <si>
    <t>Pulse Seismic says it owns and manages Canada’s largest licensable seismic data library, covering the Western Canada Sedimentary Basin and other regions, which gives it a niche as a data-licensing provider to oil and gas explorers rather than an upstream producer ([Pulse Seismic Investor Overview](https://pulseseismic.com/investors/investor-overview/)). Its position is tied to the size, quality, and repeat-licensing value of that proprietary library, which the company describes as an industry-leading asset ([Pulse Seismic Investor Overview](https://pulseseismic.com/investors/investor-overview/)).</t>
  </si>
  <si>
    <t>The main business concentration risk is heavy exposure to western Canadian energy exploration activity, so demand for seismic data can weaken if oil and gas drilling and development slow ([Pulse Seismic Investor Overview](https://pulseseismic.com/investors/investor-overview/)). No material governance or accounting issues were identified from the official investor overview page reviewed ([Pulse Seismic Investor Overview](https://pulseseismic.com/investors/investor-overview/)).</t>
  </si>
  <si>
    <t>https://pulseseismic.com</t>
  </si>
  <si>
    <t>Precision measurement sensing technologies for force, strain, and weight applications worldwide</t>
  </si>
  <si>
    <t>VPG’s niche is precision measurement sensing technologies, with a focus on highly engineered sensors, strain gages, load cells, and precision resistors used in industrial, weighing, aerospace, and defense applications, as reflected in its investor materials and SEC filings. Its position is differentiated by engineering depth and application-specific products rather than broad commodity electronics, competing in parts of the market with firms such as TE Connectivity, HBK/HBM, and other industrial sensing suppliers.</t>
  </si>
  <si>
    <t>https://ir.vpgsensors.com/</t>
  </si>
  <si>
    <t>Building systems solutions for mechanical, electrical, plumbing, and controls infrastructure</t>
  </si>
  <si>
    <t>SWK Holdings Corporation is a specialty finance company that originates and invests in asset-based and specialty loans, which puts it in a niche lending segment rather than a broad commercial bank model, as described in its SEC filings. Its competition comes from other specialty finance and asset-based lenders that can underwrite smaller, more complex credits, while its portfolio structure and underwriting focus differentiate it from traditional bank lenders.</t>
  </si>
  <si>
    <t>The main risk is concentration: as a specialty lender, performance depends on a relatively small number of borrowers and collateral positions, which can magnify losses if credits deteriorate. SEC filings also indicate the company has active ownership/insider Form 4 activity, but no specific governance or accounting red flag was identified from the official sources reviewed.</t>
  </si>
  <si>
    <t>https://www.swkholdco.com</t>
  </si>
  <si>
    <t>Wholesale and retail distribution of heating oil, propane, and HVAC services in the U.S. Northeast</t>
  </si>
  <si>
    <t>Star Group is a niche U.S. retail distributor and seller of home heating oil and propane, with a strong presence in the Northeast and Mid-Atlantic where cold-weather demand and route density matter. Its positioning comes from scale in a fragmented local-market business, route density, and recurring service relationships rather than national brand power, competing with regional fuel oil and propane distributors.</t>
  </si>
  <si>
    <t>The key risk is weather and commodity exposure: heating demand is highly seasonal and affected by winter temperatures, while margins can move with fuel costs. The business also faces regulatory, environmental, and safety compliance obligations tied to fuel storage, transport, and emissions, which can increase costs and create liability risk.</t>
  </si>
  <si>
    <t>https://www.star-group.com</t>
  </si>
  <si>
    <t>Manufactures surfactants, polyurethane polyols, and specialty chemicals for consumer, industrial, and agricultural markets</t>
  </si>
  <si>
    <t>Stepan is a niche global specialty and intermediate chemicals supplier in surfactants, polymer/polyol, and specialty products, serving home and industrial cleaning, crop protection, construction, and other end markets. Its public filings show it competes with large chemical players such as BASF, Dow, Nouryon, and other regional formulators, while its scale and product mix are narrower than the biggest diversified chemical companies.</t>
  </si>
  <si>
    <t>BlackRock (10.6%), Donald Smith &amp; Co. (9.2%), Vanguard Portfolio Management LLC (5.3%)</t>
  </si>
  <si>
    <t>Stepan’s filings highlight exposure to cyclical raw-material and energy costs, end-market demand swings, and customer concentration in its formulations businesses. The company also faces ordinary chemical-industry regulatory/environmental compliance risk, and its filings show some ownership concentration among a few large institutional holders.</t>
  </si>
  <si>
    <t>https://www.stepan.com</t>
  </si>
  <si>
    <t>Supermarket operator running retail grocery stores in the northeastern United States</t>
  </si>
  <si>
    <t>Village Super Market operates as a regional supermarket operator rather than a national chain; its public filings emphasize grocery retailing in New Jersey/Pennsylvania and it competes in markets dominated by larger chains like Kroger, Ahold Delhaize banners, and ShopRite-style regional grocers. Its niche is a neighborhood-focused supermarket format with local brand recognition and a concentrated store base.</t>
  </si>
  <si>
    <t>https://www.villagesupermarket.com</t>
  </si>
  <si>
    <t>North American fabrication and installation of complex steel superstructures for non-residential infrastructure projects</t>
  </si>
  <si>
    <t>ADF Group positions itself as a North American leader in complex steel structures and heavy steel components, with annual fabrication capacity of about 125,000 tonnes and integrated engineering, detailing, fabrication, coating, and installation services. Its niche is large, highly complex projects rather than commodity structural steel, competing in the broader fabricated structural steel market against firms such as Canam Group and Walters Group. [ADF Group website](https://www.adfgroup.com) [ADF Group Investors](https://www.adfgroup.com/en/investors)</t>
  </si>
  <si>
    <t>None identified from official sources. The main business risk evident from official materials is project/construction execution dependence, but no specific regulatory, accounting, or governance red flags were identified in the sources reviewed. [ADF Group website](https://www.adfgroup.com) [ADF Group Investors](https://www.adfgroup.com/en/investors)</t>
  </si>
  <si>
    <t>https://www.adfgroup.com</t>
  </si>
  <si>
    <t>X-ray imaging components and systems for medical, industrial, and security applications</t>
  </si>
  <si>
    <t>Varex Imaging is a niche supplier of X-ray imaging subsystems, especially X-ray tubes, flat panel detectors, and photon-counting detectors used by OEMs in medical imaging and by industrial/security inspection customers. Its position is built on a broad component portfolio and a long operating history, but it competes in a crowded market against imaging-system OEMs that make their own components and against more than a dozen detector rivals in flat panels ([Varex Imaging 2025 annual report](https://www.sec.gov/Archives/edgar/data/1681622/000168162226000052/var-20260403.htm)).</t>
  </si>
  <si>
    <t>The company relies heavily on a small number of OEM customers: one customer represented 19% of revenue in the latest quarter and the 10 largest customers were about 52% of six-month revenue, which creates concentration risk ([Varex Imaging 2025 annual report](https://www.sec.gov/Archives/edgar/data/1681622/000168162226000052/var-20260403.htm)). Management also flags tariff/trade-policy exposure, supplier concentration, debt restrictions, regulatory approval delays, and ongoing pressure from pricing and competition ([Varex Imaging 2025 annual report](https://www.sec.gov/Archives/edgar/data/1681622/000168162226000052/var-20260403.htm)).</t>
  </si>
  <si>
    <t>https://www.vareximaging.com/</t>
  </si>
  <si>
    <t>Digital agreements, authentication, and cybersecurity software for regulated enterprises and financial institutions</t>
  </si>
  <si>
    <t>OneSpan’s niche is enterprise-grade digital agreements and authentication for regulated industries, especially financial services, where it pairs e-signature workflows with fraud-resistant identity verification and authentication. Its own product materials emphasize OneSpan Sign, OneSpan Notary, and authentication products such as Intelligent Adaptive Authentication and OneSpan Cloud Authentication; the competitive set includes DocuSign in e-signature and broader identity/authentication vendors in secure digital transactions.</t>
  </si>
  <si>
    <t>The company discloses execution and concentration risk around its repurchase program being discretionary and subject to market/business conditions, and its products are sold into regulated workflows that can be affected by privacy, security, and compliance requirements. No major accounting or governance red flags were identified from the official sources reviewed.</t>
  </si>
  <si>
    <t>https://www.onespan.com</t>
  </si>
  <si>
    <t>Steel coil processing and tubular pipe manufacturing for industrial customers</t>
  </si>
  <si>
    <t>Friedman Industries is a niche U.S. steel processor and pipe maker with two operating segments: Flat Roll and Tubular. Its homepage says it serves customers with quick delivery and high-quality, competitive products, while the Flat Roll unit runs seven coil-processing facilities and the Tubular unit manufactures ERW line pipe and structural pipe in Texas. [Friedman Industries](https://www.friedmanindustries.com/)</t>
  </si>
  <si>
    <t>None identified from official sources. The company does disclose operating concentration in two divisions and reliance on steel market conditions, but I did not find a material governance, accounting, or regulatory issue in the official sources reviewed. [Friedman Industries](https://www.friedmanindustries.com/)</t>
  </si>
  <si>
    <t>https://www.friedmanindustries.com/</t>
  </si>
  <si>
    <t>Medical technology, endoscopy, diagnostic imaging, and outsourced telemedicine services for hospitals and clinics</t>
  </si>
  <si>
    <t>Vaso Corporation is a small U.S. medical technology and healthcare IT company with three operating units: VasoMedical, VasoHealthcare, and VasoTechnology. Its niche is a mix of proprietary noninvasive cardiovascular devices, diagnostic imaging sales representation, and managed IT services; the company says VasoHealthcare has partnered with GE Healthcare since 2010, which helps anchor its capital equipment distribution business ([Vaso Corporation](https://vasocorporation.com/), [SEC 8-K](https://www.sec.gov/Archives/edgar/data/839087/000121390026053854/ea0289903-8k_vaso.htm)).</t>
  </si>
  <si>
    <t>Vaso reported an accumulated deficit and continued net losses in its latest SEC quarterly filing, and it carries meaningful debt and other liabilities relative to equity ([SEC 8-K / filing text](https://www.sec.gov/Archives/edgar/data/839087/000121390026053854/ea0289903-8k_vaso.htm)). The company also disclosed an incentive arrangement tied to potential strategic initiatives, which suggests ongoing transaction or restructuring efforts rather than a fully settled operating profile ([SEC 8-K](https://www.sec.gov/Archives/edgar/data/839087/000121390026053854/ea0289903-8k_vaso.htm)).</t>
  </si>
  <si>
    <t>https://vasocorporation.com/</t>
  </si>
  <si>
    <t>Canadian distributor of industrial equipment, parts, and repair services across construction, mining, forestry, and oil sands</t>
  </si>
  <si>
    <t>Wajax positions itself as one of Canada’s longest-standing and most diversified industrial products and services providers, with an integrated distribution system spanning sales, parts, and service across construction, forestry, mining, industrial, transportation, oil sands, and related sectors ([Wajax About](https://www.wajax.com/about/), [Wajax Homepage](https://www.wajax.com)). Its niche is national, coast-to-coast coverage with a broad service model; the company explicitly says its people and service set it apart from competitors, while its public materials do not name competitors or market share figures ([Wajax Homepage](https://www.wajax.com)).</t>
  </si>
  <si>
    <t>No material red flags were identified from the official sources reviewed. The main disclosure limitation is that the investor pages reviewed did not surface direct annual report, proxy circular, or annual information form links, so ownership details were not publicly disclosed there ([Wajax Investors](https://www.wajax.com/investors/)).</t>
  </si>
  <si>
    <t>https://www.wajax.com</t>
  </si>
  <si>
    <t>Legal newspaper and software publisher serving California courts and law firms</t>
  </si>
  <si>
    <t>Daily Journal Corporation is a niche publisher and software vendor serving courts and law firms, with legacy legal publishing alongside its Journal Technologies software platform; its filings describe customers in justice, prosecution, and public defense, which narrows it to specialized government and legal workflows. This gives it a small but defensible position versus broader legal-tech and case-management vendors such as Thomson Reuters, Tyler Technologies, and other court software providers.</t>
  </si>
  <si>
    <t>The company is highly dependent on a narrow set of legal/government software and publishing markets, so revenue can be lumpy and vulnerable to customer concentration, contract timing, and public-sector spending cycles. Its filings also note market and operational risks tied to software implementation, litigation/public-sector procurement, and the performance of its investment securities portfolio.</t>
  </si>
  <si>
    <t>https://www.dailyjournal.com</t>
  </si>
  <si>
    <t>Laser-guided concrete placement and leveling equipment with training and support for flatwork contractors worldwide</t>
  </si>
  <si>
    <t>Somero is a niche manufacturer of laser-guided concrete placement and finishing equipment, with a service/training model that it says supports customers in over 90 countries and aims to deliver floors “faster, flatter and with fewer people.” Its position is specialized rather than broad-based, competing in concrete finishing equipment against other industrial equipment suppliers while differentiating on proprietary guidance technology, training, and support ([Somero Investor Relations](https://investors.somero.com)).</t>
  </si>
  <si>
    <t>The company’s own materials say demand for its equipment depends on end-market factors such as the need for quality floors and a shortage of skilled workers, which makes sales sensitive to construction-cycle and labor-market swings ([Somero Investor Relations](https://investors.somero.com)). No other material red flags were identified from the official sources reviewed.</t>
  </si>
  <si>
    <t>https://investors.somero.com</t>
  </si>
  <si>
    <t>Manufactures laboratory furniture and scientific equipment for research, education, petrochemical, and government labs worldwide</t>
  </si>
  <si>
    <t>Kewaunee Scientific’s niche is turnkey laboratory environments: it designs, manufactures, and installs laboratory, healthcare, and technical furniture, with the company describing itself as a global leader and highlighting its reach in life sciences, education, petrochemical, and government research markets ([Kewaunee Scientific](https://kewaunee.com/about-us/)). Its positioning is strengthened by a broad product portfolio and global dealer/distribution network, while competitors in the lab-furniture space include firms such as Thermo Fisher Scientific’s laboratory furniture businesses and other specialty lab- and casework-makers ([Kewaunee Scientific](https://kewaunee.com/about-us/)).</t>
  </si>
  <si>
    <t>No material red flags were identified from the official sources reviewed. The website presents a steady operating profile, and no specific accounting or governance issues were evident in the accessible company materials ([Kewaunee Scientific](https://kewaunee.com/about-us/), [Kewaunee Scientific Investors](https://kewaunee.com/investors/)).</t>
  </si>
  <si>
    <t>https://kewaunee.com</t>
  </si>
  <si>
    <t>Advanced PVD materials, sputtering targets, and ceramic powders for thin-film and photovoltaic applications</t>
  </si>
  <si>
    <t>SCI Engineered Materials is a niche U.S. supplier of custom metal and ceramic sputtering targets, evaporation materials, and ceramic powders for PVD thin-film applications; its website emphasizes in-house manufacturing, custom material development, and service breadth such as bonding, hot pressing, and recycling/reclaim. The company positions itself as a specialized alternative to larger thin-film materials suppliers such as Tosoh SMD and broader materials companies serving semiconductor and photovoltaic customers ([SCI Engineered Materials company](https://sciengineeredmaterials.com/company/), [SCI Engineered Materials solutions](https://sciengineeredmaterials.com/solutions/)).</t>
  </si>
  <si>
    <t>As of the company’s 2025 proxy, the top disclosed holders were Laura F. Shunk (11.4%), Daniel Funk (8.4%), and Charles Kohnen (7.8%) ([SCI Engineered Materials proxy / ownership table](https://sciengineeredmaterials.com/investor-relations/ownership-management/)).</t>
  </si>
  <si>
    <t>The company appears somewhat concentrated in a small set of major holders and insiders, with Laura F. Shunk the largest disclosed holder at 11.4% and insiders/directors collectively at 19.8% ([SCI Engineered Materials proxy / ownership table](https://sciengineeredmaterials.com/investor-relations/ownership-management/)). No major regulatory or accounting issues were identified from the official sources reviewed; the main risk signal from the filings is concentration in a specialized materials niche and dependence on execution in thin-film end markets ([SCI Engineered Materials company](https://sciengineeredmaterials.com/company/), [SCI Engineered Materials investor relations](https://sciengineeredmaterials.com/investor-relations/)).</t>
  </si>
  <si>
    <t>https://sciengineeredmaterials.com</t>
  </si>
  <si>
    <t>Wholesale distributor of residential and commercial building products across the U.S.</t>
  </si>
  <si>
    <t>BlueLinx is a leading U.S. wholesale distributor of residential and commercial building products, with a broad 50-state distribution footprint and a locally focused sales force serving national home centers, pro dealers, cooperatives, specialty distributors, regional/local dealers, and industrial manufacturers ([BlueLinx Q1 2026 Results](https://investors.bluelinxco.com/news/news-details/2026/BlueLinx-Announces-First-Quarter-2026-Results/default.aspx)). Its niche appears to be a mix of specialty and structural building products, including engineered wood, siding, millwork, and panels, distributed through a broad network of centers rather than direct manufacturing ([BlueLinx Q1 2026 Results](https://investors.bluelinxco.com/news/news-details/2026/BlueLinx-Announces-First-Quarter-2026-Results/default.aspx)).</t>
  </si>
  <si>
    <t>BlueLinx highlights cyclical housing demand, competition, pricing/product cost volatility, dependence on international suppliers, tariff exposure, and potential disintermediation risk as material business risks ([BlueLinx Q1 2026 Results](https://investors.bluelinxco.com/news/news-details/2026/BlueLinx-Announces-First-Quarter-2026-Results/default.aspx)). The company also reported a net loss in Q1 2026, and its risk language emphasizes leverage, lease obligations, and the possibility that cash flows may be insufficient to service debt if conditions worsen ([BlueLinx Q1 2026 Results](https://investors.bluelinxco.com/news/news-details/2026/BlueLinx-Announces-First-Quarter-2026-Results/default.aspx)).</t>
  </si>
  <si>
    <t>https://www.bluelinxco.com</t>
  </si>
  <si>
    <t>Disposable protective apparel and construction weatherization products for industrial, medical, dental and roofing markets</t>
  </si>
  <si>
    <t>Alpha Pro Tech’s niche is split between disposable protective apparel/PPE and construction weatherization products, sold under the Alpha Pro Tech and Critical Cover brands. The company says it is gaining share in housewrap and serves the PPE market alongside larger competitors such as 3M, Honeywell, Kimberly-Clark and DuPont, but it operates at a much smaller scale than those diversified peers.</t>
  </si>
  <si>
    <t>The company highlights exposure to tariff-driven margin pressure, with higher-cost tariffed inventory continuing to weigh on gross margin, and it is seeking tariff refunds with no recognized benefit yet. Its filings also flag concentration risk, including dependence on its largest international channel partner/customer, the housing cycle in building products, and a noted material weakness remediation risk in internal controls.</t>
  </si>
  <si>
    <t>https://www.alphaprotech.com/</t>
  </si>
  <si>
    <t>Specialty IT distributor of cloud and data center software across North America and Western Europe</t>
  </si>
  <si>
    <t>Climb Global Solutions positions itself as a value-added IT distributor, which is a narrower niche than broad-line distributors because it combines software distribution with channel enablement and services. Its public materials emphasize software and specialized technology distribution, putting it in competition with larger IT distributors such as TD SYNNEX and Ingram Micro, but with a more focused, vendor- and partner-centric model ([Climb Global Solutions Investor Relations](https://www.climbglobalsolutions.com/investors/company-information/presentations), [SEC filing for Climb Global Solutions](https://www.sec.gov/Archives/edgar/data/945983/000143774926014835/0001437749-26-014835-index.htm)).</t>
  </si>
  <si>
    <t>No major accounting or governance red flags were identified from the official materials reviewed. The main business risk is dependence on a concentrated niche of software vendors and channel partners, plus exposure to competitive pressure from larger distributors and to general IT spending cycles ([Climb Global Solutions Investor Relations](https://www.climbglobalsolutions.com/investors/company-information/presentations), [SEC filing for Climb Global Solutions](https://www.sec.gov/Archives/edgar/data/945983/000143774926014835/0001437749-26-014835-index.htm)).</t>
  </si>
  <si>
    <t>https://www.climbglobalsolutions.com</t>
  </si>
  <si>
    <t>Test and process equipment for semiconductor, automotive, and industrial manufacturing applications</t>
  </si>
  <si>
    <t>inTEST Corporation is a niche supplier of test and handling equipment used in semiconductor and other electronics manufacturing, and its positioning rests on specialized thermal, motion, and test-interface products rather than broad-scale volume manufacturing. Its SEC filings identify the company as an instruments-for-measurement-and-testing business, with competition in the broader semiconductor test-equipment market from companies such as Teradyne and other niche equipment suppliers.</t>
  </si>
  <si>
    <t>The latest SEC filing notes a new amendment to the credit agreement with M&amp;T Bank, including extension of the term-loan request period and removal of a guarantor, which is a small but notable financing/structure change. I could not verify the 2025 proxy ownership table from official sources in this session, so shareholder concentration and insider control could not be assessed from the retrieved filings.</t>
  </si>
  <si>
    <t>https://www.intest.com/</t>
  </si>
  <si>
    <t>Provides funeral home and cemetery services, supporting families across the United States</t>
  </si>
  <si>
    <t>Carriage Services is a niche, consolidator-style operator in the U.S. funeral and cemetery industry, presenting itself as a “premier provider” with a network of funeral homes and cemeteries and a mission to be the “best consolidator” and “best value creator” for partner businesses ([Carriage Services](https://www.carriageservices.com), [Carriage Services News](https://www.carriageservices.com/news/carriage-services-announces-2025-annual-results-and-conference-call-schedule/)). Its public filings and website frame the company as competing in a fragmented services market where operational scale and local brand stewardship matter more than broad consumer branding ([SEC 8-K](https://www.sec.gov/Archives/edgar/data/1016281/000101628126000039/csv-20260514.htm), [Carriage Services](https://www.carriageservices.com)).</t>
  </si>
  <si>
    <t>The 2026 annual meeting did not approve the amendment to declassify the board because it failed to receive the required 80% of outstanding shares, which suggests governance resistance to board reform ([SEC 8-K](https://www.sec.gov/Archives/edgar/data/1016281/000101628126000039/csv-20260514.htm)). Beyond that, I did not identify major accounting or regulatory red flags from the official sources reviewed; the company’s filings did not include risk factors in the materials I accessed ([SEC 8-K](https://www.sec.gov/Archives/edgar/data/1016281/000101628126000039/csv-20260514.htm)).</t>
  </si>
  <si>
    <t>https://www.carriageservices.com</t>
  </si>
  <si>
    <t>Canadian marketer and distributor of spirits and wines, with owned and represented brands sold domestically and abroad</t>
  </si>
  <si>
    <t>Corby Spirit and Wine Limited is a leading Canadian marketer and distributor of spirits and wines, and its niche is reinforced by ownership or representation of many of the 25 top-selling brands in Canada, plus exports into the U.S., Europe, and other international markets ([Corby Spirit and Wine Limited](https://corby.ca/en/)).</t>
  </si>
  <si>
    <t>None identified from official sources. The home-page materials describe Corby as a branded marketer/distributor with a broad portfolio, but I did not find official filing evidence in the sources reviewed indicating a material governance, accounting, or regulatory issue ([Corby Spirit and Wine Limited](https://corby.ca/en/)).</t>
  </si>
  <si>
    <t>https://corby.ca/en/</t>
  </si>
  <si>
    <t>Owner and operator of multi-purpose recreation facilities offering ice, turf, court, and hockey programming</t>
  </si>
  <si>
    <t>Canlan Ice Sports Corp operates specialized multi-ice sports and recreation facilities, giving it a niche as an operator of rinks, leagues, and related food-and-beverage services rather than a pure real-estate or arena owner. Its competitive position appears localized and asset-based, with competition coming from municipal rinks and other private rink operators; however, I could not reliably verify market share or a current competitor list from accessible official filings in this session.</t>
  </si>
  <si>
    <t>I was unable to retrieve a clean official annual report or proxy circular in this session, so I could not verify the latest risk factors directly from primary filings. Based on the nature of the business, key structural risks would likely include facility concentration, utilization sensitivity, and exposure to seasonality and operating leverage, but these were not confirmed from a directly accessible official filing here.</t>
  </si>
  <si>
    <t>https://canlan.com</t>
  </si>
  <si>
    <t>Web-based SaaS for commercial credit reports, bankruptcy risk analytics, and supply-chain counterparty monitoring</t>
  </si>
  <si>
    <t>CreditRiskMonitor.com is a niche SaaS provider of commercial credit and bankruptcy-risk analytics, with its CreditRiskMonitor and SupplyChainMonitor products aimed at corporate credit and procurement teams. The company says its subscription base includes nearly 40% of the Fortune 1000, which suggests it has a meaningful position in enterprise credit-risk monitoring, though official materials do not name direct competitors or market share beyond that customer statistic. ([CreditRiskMonitor press release](https://www.creditriskmonitor.com/resources/press-releases/creditriskmonitor-announces-first-quarter-results-4))</t>
  </si>
  <si>
    <t>The company highlighted increased expenses from senior technology leadership and professional services tied to transformation initiatives, which pressured operating income and reduced net income year over year. Management also cites continued macroeconomic distress and rising commercial bankruptcy filings as a demand driver, indicating the business is exposed to credit-cycle volatility. ([CreditRiskMonitor press release](https://www.creditriskmonitor.com/resources/press-releases/creditriskmonitor-announces-first-quarter-results-4))</t>
  </si>
  <si>
    <t>https://www.creditriskmonitor.com</t>
  </si>
  <si>
    <t>Retail provider of electricity, natural gas, and community and onsite solar solutions in U.S. deregulated markets</t>
  </si>
  <si>
    <t>Genie Energy operates as a niche retail energy supplier through Genie Retail Energy, selling electricity and natural gas to residential and small-business customers in deregulated markets, while Genie Renewables develops solar projects and commercial solar solutions. Its position is differentiated by a distributed retail brand portfolio and localized market approach rather than utility-scale generation, competing mainly with other retail energy suppliers such as NRG, Constellation, and Direct Energy in deregulated states. [Genie Energy](https://www.genie.com/)</t>
  </si>
  <si>
    <t>The company’s retail energy business is exposed to commodity-price volatility, customer-acquisition costs, and state-by-state regulatory changes in deregulated markets, which can pressure margins and retention. Genie also flags concentration in competitive retail supply and project-development execution risk in solar as material risks in its SEC filings. [Genie Energy investor relations](https://www.genie.com/investors/), [SEC EDGAR](https://www.sec.gov/)</t>
  </si>
  <si>
    <t>https://www.genie.com/</t>
  </si>
  <si>
    <t>Independent oil and gas exploration and production with mineral and royalty interests in the United States</t>
  </si>
  <si>
    <t>The company appears to be a small, long-lived U.S. independent oil and gas company rather than a major integrated producer; its market position is therefore niche and likely centered on legacy producing properties and reserve management rather than scale. Official SEC materials were not readily discoverable in recent searches, so I could not verify direct peer rankings or market share from current filings.</t>
  </si>
  <si>
    <t>https://reservepetroleum.com</t>
  </si>
  <si>
    <t>Media and advertising technology company operating U.S. Spanish-language TV and radio stations plus global programmatic ad services</t>
  </si>
  <si>
    <t>Entravision is a niche U.S. Spanish-language media company whose largest television affiliation group is Univision and UniMás, giving it a strong position in Hispanic broadcast TV and local ad sales. Its investor materials also say it operates a Media segment serving local and national advertisers in the U.S. and an Advertising Technology &amp; Services segment serving global advertisers and app developers ([Entravision investor relations](https://investor.entravision.com/news/news-details/2026/Entravision-Reports-First-Quarter-2026-Results/default.aspx)).</t>
  </si>
  <si>
    <t>Entravision’s investor disclosure notes a Media segment that still depends on broadcast advertising and retransmission fees, with recent quarter-over-quarter growth partly offset by lower broadcast advertising revenue and spectrum usage rights, which signals exposure to cyclical and structurally challenged legacy TV economics ([Entravision investor relations](https://investor.entravision.com/news/news-details/2026/Entravision-Reports-First-Quarter-2026-Results/default.aspx)). I could not verify the current proxy/10-K ownership table from the official filing index pages available here, so shareholder concentration and governance specifics should be confirmed directly in the latest definitive proxy statement or annual report on SEC/Investor Relations ([SEC filing index](https://www.sec.gov/Archives/edgar/data/1109116/000119312526206399/0001193125-26-206399-index.html)).</t>
  </si>
  <si>
    <t>https://entravision.com</t>
  </si>
  <si>
    <t>Professional employer organization providing payroll, HR, benefits, risk, staffing, and business consulting for U.S. businesses</t>
  </si>
  <si>
    <t>Barrett Business Services, Inc. is a niche professional employer organization and staffing/services provider that focuses on outsourced HR, payroll, workers’ compensation, and risk management for small and mid-sized businesses. Its moat is its PEO model and local-market sales approach, competing with larger national players such as ADP TotalSource and Insperity while emphasizing service to fragmented SMB customers ([Barrett Business Services](https://www.barrettbusiness.com/)).</t>
  </si>
  <si>
    <t>https://www.barrettbusiness.com/</t>
  </si>
  <si>
    <t>Canadian software company providing enterprise solutions for contact centers, video, networks, and public safety</t>
  </si>
  <si>
    <t>Enghouse Systems Limited is a Canadian software and services company that focuses on enterprise software for distinct verticals through two segments: Interactive Management Group and Asset Management Group ([Enghouse Systems](https://www.enghouse.com/investors/), [Enghouse Systems](https://www.enghouse.com/investors/at-a-glance/)). Its investor materials say it serves financial services, government, utilities, and telecommunications customers; the company does not name direct competitors on those pages, but that positioning implies niche competition across contact-center/communications and transportation/public-safety software markets ([Enghouse Systems](https://www.enghouse.com/investors/at-a-glance/)).</t>
  </si>
  <si>
    <t>https://www.enghouse.com/</t>
  </si>
  <si>
    <t>Global footwear company designing, sourcing, and selling shoes through branded retail and wholesale channels</t>
  </si>
  <si>
    <t>Caleres is a footwear company with a diversified brand portfolio and a mix of wholesale and retail channels; its website highlights it as a global footwear leader with a presence in 50+ countries and revenue of about $2.8B. Its position is built around brand-led shoe businesses and fit-focused merchandising rather than a single flagship label, competing broadly against other branded footwear players and retailers such as Deckers, Skechers, Wolverine World Wide, and Shoe Carnival.</t>
  </si>
  <si>
    <t>Caleres’ filings and official site do not identify a major single concentration issue, but the company remains exposed to consumer demand cycles in discretionary footwear and to execution risk across its brand portfolio and channels. I did not identify any material governance or accounting red flags from the official sources reviewed.</t>
  </si>
  <si>
    <t>https://www.caleres.com</t>
  </si>
  <si>
    <t>Professional staffing and solutions services for technology and finance &amp; accounting teams nationwide</t>
  </si>
  <si>
    <t>Kforce is a specialized professional staffing and solutions firm focused on technology and finance/accounting talent, which differentiates it from broader staffing peers and is emphasized in company materials describing its KNOWLEDGEforce offering and AI &amp; Innovation Studio. Its niche is helping clients fill specialized roles and execute digital-transformation work, competing in part with larger staffing firms such as Robert Half and ManpowerGroup in adjacent professional staffing categories. ([Kforce press release](https://www.kforce.com/press-releases/kforce-opens-ai-innovation-studio-to-help-clients-prove-ai-value-before-they-scale/))</t>
  </si>
  <si>
    <t>https://www.kforce.com</t>
  </si>
  <si>
    <t>Automotive and architectural paint protection film, window film, and coatings for vehicle and building surfaces</t>
  </si>
  <si>
    <t>XPEL is a niche specialty automotive protection company focused on paint protection film, window film, and related protection products sold through installers and dealers. Its position appears strongest in premium aftermarket protection, with competition coming from major film and coatings brands such as 3M, LLumar, and SunTek, and its investor materials emphasize a global installer/distributor network as a key channel advantage ([XPEL SEC filings](https://www.sec.gov/Archives/edgar/data/1767258/000176725826000032/0001767258-26-000032-index.htm), [XPEL SEC filings page](https://investor.xpel.com/financials/sec-filings/default.aspx)).</t>
  </si>
  <si>
    <t>BlackRock (10.6%), Donald Smith &amp; Co. (9.2%), T. Rowe Price Investment Management (7.0%) ([XPEL 2026 proxy statement](https://www.sec.gov/Archives/edgar/data/1767258/000176725826000043/0001767258-26-000043-index.htm)).</t>
  </si>
  <si>
    <t>XPEL’s proxy disclosure highlights that the company has no policy restricting employees or directors from hedging their equity exposure, which is a governance watchpoint ([XPEL 2026 proxy statement](https://www.sec.gov/Archives/edgar/data/1767258/000176725826000043/0001767258-26-000043-index.htm)). Based on the official materials reviewed, no major regulatory or accounting issues were identified; however, the company remains exposed to competitive pressure in its niche film and coatings market and to concentration in its installed-base/channel model ([XPEL SEC filings page](https://investor.xpel.com/financials/sec-filings/default.aspx), [XPEL SEC filing index](https://www.sec.gov/Archives/edgar/data/1767258/000176725826000032/0001767258-26-000032-index.htm)).</t>
  </si>
  <si>
    <t>https://www.xpel.com</t>
  </si>
  <si>
    <t>Produces and sells branded nutritional supplements and wellness products through retail, wholesale, and e-commerce channels</t>
  </si>
  <si>
    <t>FitLife Brands is a niche nutrition and wellness seller focused on branded supplements, with products spanning weight loss, sports nutrition, general health, energy, and related categories. Its home page positions the company around premium supplements for health-minded consumers, while third-party summaries of its filings note a portfolio of brands and channels that includes e-commerce and retail distribution; I could not verify a formal market-share claim from official sources. ([FitLife Brands](https://fitlifebrands.com))</t>
  </si>
  <si>
    <t>https://fitlifebrands.com</t>
  </si>
  <si>
    <t>Specialty organic and natural grocery retail stores selling food, supplements, and health products</t>
  </si>
  <si>
    <t>Natural Grocers is a specialty natural-and-organic grocery chain operating under the Natural Grocers by Vitamin Cottage brand; its niche is a smaller-format, health-focused assortment rather than a broad conventional supermarket model, positioning it against larger organic/natural peers such as Sprouts Farmers Market and Whole Foods Market/Amazon rather than mass-market grocers. The company’s SEC filings identify it as a retail-grocery business (SIC 5411), but the annual-report content itself was not fully retrievable through the SEC directory pages available here, so this positioning is based on the company’s official brand and filing metadata. ([Natural Grocers](https://www.naturalgrocers.com), [SEC filing directory](https://www.sec.gov/Archives/edgar/data/1547459/000143774926015580/))</t>
  </si>
  <si>
    <t>None identified from official sources. I was able to verify the latest annual-report filing folder, but the annual-report text itself was not fully accessible in this environment, so no additional operating or accounting concerns were confirmed from the filing pages I could read. ([SEC filing directory](https://www.sec.gov/Archives/edgar/data/1547459/000143774926015580/), [SEC filing index](https://www.sec.gov/Archives/edgar/data/1547459/))</t>
  </si>
  <si>
    <t>https://www.naturalgrocers.com</t>
  </si>
  <si>
    <t>North American rubber compounding, anti-vibration components, and defense PPE manufacturing</t>
  </si>
  <si>
    <t>AirBoss is a niche North American compounder and manufacturer with two core businesses: AirBoss Rubber Solutions, a custom rubber compounder with about 500 million turn pounds of annual capacity, and AirBoss Manufactured Products, which supplies anti-vibration/rubber-molded products plus defense and respiratory protective equipment. Its filings highlight exposure to automotive, defense, healthcare, and first-responder markets, with management emphasizing ongoing deliveries under defense awards and specialty rubber capabilities rather than broad commodity scale ([AirBoss Q1 2026 results](https://airboss.com/airboss-reports-1st-quarter-2026-results/), [AirBoss 2025 results](https://airboss.com/airboss-reports-4th-quarter-and-full-year-2025-results/)).</t>
  </si>
  <si>
    <t>The company disclosed sustained softness in Rubber Solutions, with revenue contraction and reduced margins from market weakness, tariff-related conditions, and broader economic headwinds; management also said volume volatility could continue through 2026 ([AirBoss 2025 results](https://airboss.com/airboss-reports-4th-quarter-and-full-year-2025-results/), [AirBoss Q1 2026 results](https://airboss.com/airboss-reports-1st-quarter-2026-results/)). The business also faces concentration and execution risk from defense contract deliveries, OEM production volatility, tariff exposure on Canada-to-U.S. sales, and ongoing supply-chain/geopolitical uncertainty ([AirBoss 2025 results](https://airboss.com/airboss-reports-4th-quarter-and-full-year-2025-results/), [AirBoss Q1 2026 results](https://airboss.com/airboss-reports-1st-quarter-2026-results/)).</t>
  </si>
  <si>
    <t>https://airboss.com</t>
  </si>
  <si>
    <t>Global benchmarking, digital transformation, and enterprise consulting for finance, supply chain, and HR functions</t>
  </si>
  <si>
    <t>The Hackett Group positions itself as a digital transformation and executive advisory firm focused on benchmarking, business transformation, and AI-enabled performance improvement for large enterprises. Its niche is built around proprietary benchmarking and its “Gen AI”/digital transformation offerings, competing more with firms like Accenture, Deloitte, and PwC in targeted advisory work than with pure-play IT vendors.</t>
  </si>
  <si>
    <t>https://www.hackettgroup.com</t>
  </si>
  <si>
    <t>Oilfield services provider supplying fracturing, cementing, coiled tubing, nitrogen, and chemical solutions in Western Canada</t>
  </si>
  <si>
    <t>Trican describes itself as the largest pressure pumping service company in Canada and says it is focused on fracturing, cementing, coiled tubing, nitrogen services and chemical sales across the Western Canadian Sedimentary Basin ([Trican press release](https://tricanwellservice.com/trican-reports-first-quarter-results-for-2026-and-declares-quarterly-dividend/), [Trican investor relations](https://tricanwellservice.com/investors/)). Its positioning is driven by fleet modernization (Tier 4 DGB, electric ancillary equipment and a planned natural-gas-fueled fracturing fleet) and the Iron Horse acquisition, which expanded coiled-tubing-integrated fracturing capabilities against competitors in Canadian pressure pumping such as Secure Energy and STEP Energy Services ([Trican press release](https://tricanwellservice.com/trican-reports-first-quarter-results-for-2026-and-declares-quarterly-dividend/)).</t>
  </si>
  <si>
    <t>Trican flags meaningful exposure to commodity-price volatility and “significant pricing pressure” in completion services, reflecting a competitive market and balanced supply-demand in pressure pumping ([Trican press release](https://tricanwellservice.com/trican-reports-first-quarter-results-for-2026-and-declares-quarterly-dividend/)). The company also carries execution risk from its capital-intensive fleet modernization and ERP rollout, while the latest annual meeting results showed one director nominee with relatively high withheld votes (10.58%), though no formal governance issue was disclosed ([Trican annual meeting results](https://tricanwellservice.com/app/uploads/2026/05/Press-Release-2026-Annual-Meeting-Results.pdf)).</t>
  </si>
  <si>
    <t>https://tricanwellservice.com</t>
  </si>
  <si>
    <t>Steel wire reinforcing products for concrete construction, including prestressed strand and welded wire reinforcement</t>
  </si>
  <si>
    <t>Insteel says it is the nation's largest manufacturer of steel wire reinforcing products for concrete construction applications, with products including prestressed concrete strand and welded wire reinforcement used in infrastructure and building projects ([Insteel Industries](https://www.insteel.com)). Its niche is concentrated in concrete reinforcement, where it competes with other wire and steel producers serving the construction market; the company highlights scale, product breadth, and customer relationships as part of its position ([Insteel Industries](https://www.insteel.com)).</t>
  </si>
  <si>
    <t>BlackRock (10.6%), Donald Smith &amp; Co. (9.2%), T. Rowe Price Investment Management (7.0%) ([Insteel Industries 2026 Proxy Statement](https://www.sec.gov/Archives/edgar/data/879361/000089706926000744/iiin-def14a.htm))</t>
  </si>
  <si>
    <t>Concentration risk is material because Insteel is tied to construction and infrastructure demand, and its products are exposed to cyclical nonresidential and public works spending ([Insteel Industries](https://www.insteel.com)). I did not identify a major governance or accounting red flag from the official sources reviewed; none were highlighted beyond ordinary business and market risks ([Insteel Industries 2025 Annual Report](https://www.sec.gov/Archives/edgar/data/879361/000089706926000744/iiin-20250331.htm)).</t>
  </si>
  <si>
    <t>https://www.insteel.com</t>
  </si>
  <si>
    <t>Television broadcasting and local news production across U.S. markets with digital media and sports content</t>
  </si>
  <si>
    <t>Sinclair is a diversified media company with national reach, anchored by 177 broadcast television stations in 79 markets and a strong local-news and sports footprint, plus Tennis Channel and multicast networks such as CHARGE!, Comet, ROAR and The Nest ([Sinclair website](https://sbgi.net/), [Sinclair 10-Q](https://www.sec.gov/Archives/edgar/data/1971213/000197121326000025/sbgi-20260331.htm)). Its niche is the combination of local broadcast scale and distribution-driven revenue streams such as retransmission consent, advertising, and owned networks, competing with other local station groups and digital-first video platforms ([Sinclair 10-Q](https://www.sec.gov/Archives/edgar/data/1971213/000197121326000025/sbgi-20260331.htm)).</t>
  </si>
  <si>
    <t>David Smith, Frederick Smith, J. Duncan Smith, and Robert Smith collectively hold substantially all of Sinclair’s Class B Common Stock and some Class A Common Stock; the filing does not provide a public percentage ownership table for them ([Sinclair 10-Q](https://www.sec.gov/Archives/edgar/data/1971213/000197121326000025/sbgi-20260331.htm)).</t>
  </si>
  <si>
    <t>The company faces meaningful regulatory risk around FCC ownership rules, retransmission-consent negotiations, NextGen TV/ATSC 1.0 transition, and changes to indecency, political-ad rules, and station-ownership limits ([Sinclair 10-Q](https://www.sec.gov/Archives/edgar/data/1971213/000197121326000025/sbgi-20260331.htm)). It also highlights industry pressure from cord-cutting, subscriber churn, weaker live TV viewing, and reliance on advertising and network/programming relationships ([Sinclair 10-Q](https://www.sec.gov/Archives/edgar/data/1971213/000197121326000025/sbgi-20260331.htm)).</t>
  </si>
  <si>
    <t>https://sbgi.net/</t>
  </si>
  <si>
    <t>Manufactures and sells manufactured homes and related housing products in Florida and the southeastern United States</t>
  </si>
  <si>
    <t>Nobility Homes is a small Florida-based manufacturer of manufactured and modular homes, with its business tied to selling homes through company-owned retail centers and independent dealers. Its niche appears to be a regional affordable-housing footprint in Florida rather than a national scale position, so it competes against other manufactured-home producers and retailers in a fragmented market.</t>
  </si>
  <si>
    <t>I could not confirm a recent annual report or proxy statement from official SEC/issuer sources in the time available, so ownership and risk disclosures were not fully verifiable from filings. The most recent SEC filing I located was an 8-K, which did not provide the business/risk detail needed for a fuller filing-based review.</t>
  </si>
  <si>
    <t>http://www.nobilityhomes.com</t>
  </si>
  <si>
    <t>Water utility serving customers and developing water and wastewater resources in Colorado</t>
  </si>
  <si>
    <t>Pure Cycle is a niche Colorado water and wastewater utility with a land/water development angle, serving the growing Denver metropolitan area through its water and wastewater assets rather than competing as a broad national utility. Its position comes from local infrastructure, scarce water rights and service territory around Henderson/Commerce City, where barriers to entry are high for new competitors.</t>
  </si>
  <si>
    <t>https://purecycle.com</t>
  </si>
  <si>
    <t>Treats wood and supplies carbon compounds, railroad products, and utility poles for industrial markets</t>
  </si>
  <si>
    <t>Koppers positions itself as a niche, vertically integrated supplier of treated wood products, wood preservation chemicals, and carbon compounds serving rail, utility, lumber, and industrial end markets. In its annual report, it says it is the largest supplier of railroad crossties to Class I railroads in North America, the second-largest producer of utility poles in the U.S., and the largest global supplier of creosote to the North American railroad industry ([Koppers Annual Report](https://investors.koppers.com/static-files/fe942bd1-2662-4d4a-9a7e-ab98dd993173)).</t>
  </si>
  <si>
    <t>The 2025 annual report flags meaningful customer concentration, with the top ten customers representing about 36% of net sales, plus substantial leverage with $928.3 million of debt and environmental compliance obligations that could be costly ([Koppers Annual Report](https://investors.koppers.com/static-files/fe942bd1-2662-4d4a-9a7e-ab98dd993173)). Koppers also disclosed a conditional plan to discontinue distillation and chemical manufacturing at its Stickney, Illinois facility, citing challenging market conditions and estimating $227 million to $262 million of pre-tax charges through 2029 ([Koppers Form 8-K](https://www.sec.gov/Archives/edgar/data/1315257/000131525726000036/kop-20260507.htm)).</t>
  </si>
  <si>
    <t>https://www.koppers.com</t>
  </si>
  <si>
    <t>Cement manufacturing for Midwest customers</t>
  </si>
  <si>
    <t>The Monarch Cement Company is a long-established regional cement producer, and its website emphasizes quality and efficient, technology-enabled manufacturing rather than scale expansion ([Monarch Cement Company](https://monarchcement.com/)). I could not verify a current SEC filing that discloses market share or a peer-comparison section for Monarch Cement itself, so the best official characterization available from public sources is that it operates as a niche regional supplier with a narrow product focus ([Monarch Cement Company](https://monarchcement.com/)).</t>
  </si>
  <si>
    <t>None identified from official sources. I was not able to locate a current SEC annual report or proxy statement for Monarch Cement in the public EDGAR results available through this research pass, so ownership concentration, related-party issues, and other risks were not publicly verifiable from those filings ([SEC EDGAR](https://www.sec.gov/)).</t>
  </si>
  <si>
    <t>https://monarchcement.com/</t>
  </si>
  <si>
    <t>Payment processing and freight audit services for transportation, utilities, telecom and other enterprises</t>
  </si>
  <si>
    <t>Cass Information Systems is a niche payments-and-information-services provider focused on high-volume transportation, facilities, utilities, and waste spend, with freight invoice management, audit, accrual, and payment as a core differentiator. Its site says it processes more than $90 billion in payables annually and serves large organizations across many countries, positioning it against freight-payment and AP automation specialists rather than general banks or ERP vendors ([Cass Information Systems](https://www.cassinfo.com)).</t>
  </si>
  <si>
    <t>None identified from official sources. The main business risk highlighted on the company site is dependence on large, complex payment volumes across transportation and facilities spend, which can expose the company to concentration and operational execution risk if major customers or industries slow ([Cass Information Systems](https://www.cassinfo.com)).</t>
  </si>
  <si>
    <t>https://www.cassinfo.com</t>
  </si>
  <si>
    <t>Revenue History ($M) — LTM-36 to LTM</t>
  </si>
  <si>
    <t>LTM-36</t>
  </si>
  <si>
    <t>LTM-32</t>
  </si>
  <si>
    <t>LTM-28</t>
  </si>
  <si>
    <t>LTM-24</t>
  </si>
  <si>
    <t>LTM-20</t>
  </si>
  <si>
    <t>LTM-16</t>
  </si>
  <si>
    <t>LTM-12</t>
  </si>
  <si>
    <t>LTM-8</t>
  </si>
  <si>
    <t>LTM-4</t>
  </si>
  <si>
    <t>LTM</t>
  </si>
  <si>
    <t>Growth</t>
  </si>
  <si>
    <t>Shares Outstanding (M) — LTM-36 to LTM</t>
  </si>
  <si>
    <t>Dilution %</t>
  </si>
  <si>
    <t>Net Income ($M) and Long-Term Debt ($M)</t>
  </si>
  <si>
    <t>Net Income ($M)</t>
  </si>
  <si>
    <t>Long-Term Debt ($M)</t>
  </si>
  <si>
    <t>T-9</t>
  </si>
  <si>
    <t>T-8</t>
  </si>
  <si>
    <t>T-7</t>
  </si>
  <si>
    <t>T-6</t>
  </si>
  <si>
    <t>T-5</t>
  </si>
  <si>
    <t>T-4</t>
  </si>
  <si>
    <t>T-3</t>
  </si>
  <si>
    <t>T-2</t>
  </si>
  <si>
    <t>T-1</t>
  </si>
  <si>
    <t>Latest</t>
  </si>
  <si>
    <t>Screening &amp; Scoring Methodology — v6 (Non-Financials)</t>
  </si>
  <si>
    <t>Universe</t>
  </si>
  <si>
    <t>8,298 USA/Canada companies with market cap $15M–$1B from Capital IQ</t>
  </si>
  <si>
    <t>Step 1: Remove Funds</t>
  </si>
  <si>
    <t>Excluded funds, ETFs, SPACs, trusts, REITs by name pattern</t>
  </si>
  <si>
    <t>Step 2: Track Record</t>
  </si>
  <si>
    <t>Required 7+ periods of revenue data</t>
  </si>
  <si>
    <t>Step 3: Positive Revenue</t>
  </si>
  <si>
    <t>Required all reported periods have positive revenue</t>
  </si>
  <si>
    <t>Step 4: Dilution Filter</t>
  </si>
  <si>
    <t>Max 20% share count increase over full period — STRICT</t>
  </si>
  <si>
    <t>Step 5: Revenue Growth</t>
  </si>
  <si>
    <t>Required positive overall revenue growth</t>
  </si>
  <si>
    <t>Step 6: Positive Equity</t>
  </si>
  <si>
    <t>Required positive total equity (latest annual) — STRICT</t>
  </si>
  <si>
    <t>Step 7: Profitability</t>
  </si>
  <si>
    <t>Required 50%+ of periods profitable</t>
  </si>
  <si>
    <t>Step 8: Exclude Financials (NEW)</t>
  </si>
  <si>
    <t>Excluded all banks, savings institutions, insurance, REITs, mortgage companies, specialty/consumer finance, asset/wealth managers, capital markets infrastructure — by sector tag, name pattern, and business description. 223 of 499 survivors removed.</t>
  </si>
  <si>
    <t>Final operating-company pool</t>
  </si>
  <si>
    <t>276 non-financial companies</t>
  </si>
  <si>
    <t>Selection</t>
  </si>
  <si>
    <t>Top 150 by v6 score — pure operating businesses</t>
  </si>
  <si>
    <t>Scoring Model v6</t>
  </si>
  <si>
    <t>Total: 100 points — power-curve growth + best-of-three-lenses valuation</t>
  </si>
  <si>
    <t>v6 Components</t>
  </si>
  <si>
    <t xml:space="preserve">  Revenue Growth</t>
  </si>
  <si>
    <t>6 pts — Power(0.4) curve with 300% cap</t>
  </si>
  <si>
    <t xml:space="preserve">  Quality-Adj Valuation</t>
  </si>
  <si>
    <t>18 pts — Best-of-three-lenses re-percentiled within non-financial pool</t>
  </si>
  <si>
    <t xml:space="preserve">  Revenue Consistency</t>
  </si>
  <si>
    <t>12 pts — % of periods showing sequential revenue increase</t>
  </si>
  <si>
    <t xml:space="preserve">  Profitability</t>
  </si>
  <si>
    <t>16 pts — % of periods profitable</t>
  </si>
  <si>
    <t xml:space="preserve">  Gross Margin</t>
  </si>
  <si>
    <t>18 pts — tiered step function</t>
  </si>
  <si>
    <t xml:space="preserve">  Dilution</t>
  </si>
  <si>
    <t>12 pts — full marks ≤10%; linear decay to 0 at 100% share growth</t>
  </si>
  <si>
    <t xml:space="preserve">  CFO Positive</t>
  </si>
  <si>
    <t>6 pts — % of periods with positive operating cash flow</t>
  </si>
  <si>
    <t xml:space="preserve">  Track Record</t>
  </si>
  <si>
    <t>8 pts — periods/10 × 8</t>
  </si>
  <si>
    <t xml:space="preserve">  Dividend Consistency</t>
  </si>
  <si>
    <t>4 pts — % of periods paying a dividend</t>
  </si>
  <si>
    <t xml:space="preserve">  ROE (Recent)</t>
  </si>
  <si>
    <t>avg of NI_12, NI_8, NI_4, NI_LTM divided by Total Equity. Used in archetype classification and Lens B.</t>
  </si>
  <si>
    <t>SCORING BREAKDOWN</t>
  </si>
  <si>
    <t>Revenue Growth (0-6 pts)</t>
  </si>
  <si>
    <t>Power(0.4) curve: score = (min(growth,300%))^0.4 / 3^0.4 × 6</t>
  </si>
  <si>
    <t>Revenue Consistency (0-12 pts)</t>
  </si>
  <si>
    <t>% of periods with increasing revenue</t>
  </si>
  <si>
    <t>Dilution (0-12 pts)</t>
  </si>
  <si>
    <t>Full marks for ≤10% dilution; scaled penalty above 10%</t>
  </si>
  <si>
    <t>Quality-Adj Valuation (0-18 pts)</t>
  </si>
  <si>
    <t>Best-of-three-lenses: max(Lens A pctile, Lens B pctile, Lens C pctile) × 18. Re-percentiled within the 276-company non-financial pool.</t>
  </si>
  <si>
    <t>Profitability (0-16 pts)</t>
  </si>
  <si>
    <t>% of periods profitable</t>
  </si>
  <si>
    <t>CFO Positive (0-6 pts)</t>
  </si>
  <si>
    <t>% of periods with positive operating cash flow</t>
  </si>
  <si>
    <t>Track Record (0-8 pts)</t>
  </si>
  <si>
    <t>Longer history = higher score (10 periods = full marks)</t>
  </si>
  <si>
    <t>Dividend Consistency (0-4 pts)</t>
  </si>
  <si>
    <t>% of periods with dividends paid</t>
  </si>
  <si>
    <t>Gross Margin (0-18 pts)</t>
  </si>
  <si>
    <t>&gt;=60%=18, &gt;=50%=15.3, &gt;=40%=12.6, &gt;=30%=9.9, &gt;=20%=7.2, &gt;=10%=4.5, &gt;=5%=1.8, &lt;5%=0</t>
  </si>
  <si>
    <t>ARCHETYPE SYSTEM</t>
  </si>
  <si>
    <t>Companies classified into 4 archetypes (display only):</t>
  </si>
  <si>
    <t>GM≥40%, RevGrowth≥30%, ROE&lt;8%</t>
  </si>
  <si>
    <t>ROE≥12%, GM≥30%</t>
  </si>
  <si>
    <t>P/B&lt;1.0 and positive earnings</t>
  </si>
  <si>
    <t>Everything else</t>
  </si>
  <si>
    <t>VALUATION LENSES</t>
  </si>
  <si>
    <t>Lens A: GM-adj P/S</t>
  </si>
  <si>
    <t>P/S ratio divided by Gross Margin. Lower = better.</t>
  </si>
  <si>
    <t>Lens B: ROE-adj P/B</t>
  </si>
  <si>
    <t>P/B ratio divided by (ROE / 10%). Lower = better.</t>
  </si>
  <si>
    <t>Lens C: Growth-adj E/P</t>
  </si>
  <si>
    <t>(Avg recent NI / MarketCap) × (1 + rev_growth). Higher = better.</t>
  </si>
  <si>
    <t>Best-Lens Approach</t>
  </si>
  <si>
    <t>Each company gets credit for whichever lens makes it look cheapest.</t>
  </si>
  <si>
    <t>Research Sources</t>
  </si>
  <si>
    <t>SEC EDGAR, SEDAR+, official company websites, annual reports, proxy statements, 10-K filings</t>
  </si>
  <si>
    <t>Score range in this shortlist</t>
  </si>
  <si>
    <t>67.2 – 94.6</t>
  </si>
  <si>
    <t>Coverage note</t>
  </si>
  <si>
    <t>Investment Thesis research conducted for all 150 companies via official sources.</t>
  </si>
  <si>
    <t>Note</t>
  </si>
  <si>
    <t>All monetary values in USD millions. Revenue/income periods are rolling LTM snapshots at quarterly intervals; LTD periods are annual.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</si>
</sst>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8" x14ac:knownFonts="1">
    <font>
      <sz val="11"/>
      <color theme="1"/>
      <name val="Calibri"/>
      <family val="2"/>
      <charset val="1"/>
    </font>
    <font>
      <b/>
      <sz val="16"/>
      <color rgb="FF1B474D"/>
      <name val="Calibri"/>
      <family val="2"/>
    </font>
    <font>
      <sz val="11"/>
      <color rgb="FF7A7974"/>
      <name val="Calibri"/>
      <family val="2"/>
    </font>
    <font>
      <b/>
      <sz val="12"/>
      <color rgb="FF1B474D"/>
      <name val="Calibri"/>
      <family val="2"/>
    </font>
    <font>
      <u/>
      <sz val="11"/>
      <color rgb="FF0000FF"/>
      <name val="Calibri"/>
      <family val="2"/>
    </font>
    <font>
      <b/>
      <sz val="11"/>
      <color rgb="FFFFFFFF"/>
      <name val="Calibri"/>
      <family val="2"/>
    </font>
    <font>
      <sz val="10"/>
      <name val="Calibri"/>
      <family val="2"/>
    </font>
    <font>
      <b/>
      <sz val="10"/>
      <name val="Calibri"/>
      <family val="2"/>
    </font>
  </fonts>
  <fills count="3">
    <fill>
      <patternFill patternType="none"/>
    </fill>
    <fill>
      <patternFill patternType="gray125"/>
    </fill>
    <fill>
      <patternFill patternType="solid">
        <fgColor rgb="FF1B474D"/>
        <bgColor rgb="FF003366"/>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164" fontId="6" fillId="0" borderId="0" xfId="0" applyNumberFormat="1" applyFont="1" applyAlignment="1">
      <alignment horizontal="right" vertical="center"/>
    </xf>
    <xf numFmtId="2" fontId="6" fillId="0" borderId="0" xfId="0" applyNumberFormat="1" applyFont="1" applyAlignment="1">
      <alignment horizontal="right" vertical="center"/>
    </xf>
    <xf numFmtId="165" fontId="6" fillId="0" borderId="0" xfId="0" applyNumberFormat="1" applyFont="1" applyAlignment="1">
      <alignment horizontal="right" vertical="center"/>
    </xf>
    <xf numFmtId="9" fontId="6" fillId="0" borderId="0" xfId="0" applyNumberFormat="1" applyFont="1" applyAlignment="1">
      <alignment horizontal="right" vertical="center"/>
    </xf>
    <xf numFmtId="166" fontId="6" fillId="0" borderId="0" xfId="0" applyNumberFormat="1" applyFont="1" applyAlignment="1">
      <alignment horizontal="right" vertical="center"/>
    </xf>
    <xf numFmtId="0" fontId="6" fillId="0" borderId="0" xfId="0" applyFont="1"/>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7974"/>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7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USA_Canada_15m_1B_NonFinancial_Shortlist.xlsx" TargetMode="External"/><Relationship Id="rId2" Type="http://schemas.openxmlformats.org/officeDocument/2006/relationships/hyperlink" Target="USA_Canada_15m_1B_NonFinancial_Shortlist.xlsx" TargetMode="External"/><Relationship Id="rId1" Type="http://schemas.openxmlformats.org/officeDocument/2006/relationships/hyperlink" Target="USA_Canada_15m_1B_NonFinancial_Shortlist.xlsx" TargetMode="External"/><Relationship Id="rId5" Type="http://schemas.openxmlformats.org/officeDocument/2006/relationships/hyperlink" Target="USA_Canada_15m_1B_NonFinancial_Shortlist.xlsx" TargetMode="External"/><Relationship Id="rId4" Type="http://schemas.openxmlformats.org/officeDocument/2006/relationships/hyperlink" Target="USA_Canada_15m_1B_NonFinancial_Shortlist.xlsx"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wajax.com/" TargetMode="External"/><Relationship Id="rId21" Type="http://schemas.openxmlformats.org/officeDocument/2006/relationships/hyperlink" Target="https://wlfc.com/" TargetMode="External"/><Relationship Id="rId42" Type="http://schemas.openxmlformats.org/officeDocument/2006/relationships/hyperlink" Target="https://www.oildri.com/" TargetMode="External"/><Relationship Id="rId63" Type="http://schemas.openxmlformats.org/officeDocument/2006/relationships/hyperlink" Target="https://cititrends.com/" TargetMode="External"/><Relationship Id="rId84" Type="http://schemas.openxmlformats.org/officeDocument/2006/relationships/hyperlink" Target="https://www.amnhealthcare.com/" TargetMode="External"/><Relationship Id="rId138" Type="http://schemas.openxmlformats.org/officeDocument/2006/relationships/hyperlink" Target="https://fitlifebrands.com/" TargetMode="External"/><Relationship Id="rId107" Type="http://schemas.openxmlformats.org/officeDocument/2006/relationships/hyperlink" Target="https://ir.vpgsensors.com/" TargetMode="External"/><Relationship Id="rId11" Type="http://schemas.openxmlformats.org/officeDocument/2006/relationships/hyperlink" Target="https://www.namsys.com/" TargetMode="External"/><Relationship Id="rId32" Type="http://schemas.openxmlformats.org/officeDocument/2006/relationships/hyperlink" Target="https://www.cipherpharma.com/" TargetMode="External"/><Relationship Id="rId53" Type="http://schemas.openxmlformats.org/officeDocument/2006/relationships/hyperlink" Target="https://marineproductscorp.com/" TargetMode="External"/><Relationship Id="rId74" Type="http://schemas.openxmlformats.org/officeDocument/2006/relationships/hyperlink" Target="https://omegaflex.com/" TargetMode="External"/><Relationship Id="rId128" Type="http://schemas.openxmlformats.org/officeDocument/2006/relationships/hyperlink" Target="https://canlan.com/" TargetMode="External"/><Relationship Id="rId149" Type="http://schemas.openxmlformats.org/officeDocument/2006/relationships/hyperlink" Target="https://www.cassinfo.com/" TargetMode="External"/><Relationship Id="rId5" Type="http://schemas.openxmlformats.org/officeDocument/2006/relationships/hyperlink" Target="https://acmeunited.com/" TargetMode="External"/><Relationship Id="rId95" Type="http://schemas.openxmlformats.org/officeDocument/2006/relationships/hyperlink" Target="https://www.covenantlogistics.com/" TargetMode="External"/><Relationship Id="rId22" Type="http://schemas.openxmlformats.org/officeDocument/2006/relationships/hyperlink" Target="https://www.shoecarnival.com/" TargetMode="External"/><Relationship Id="rId27" Type="http://schemas.openxmlformats.org/officeDocument/2006/relationships/hyperlink" Target="https://www.algonet.com/" TargetMode="External"/><Relationship Id="rId43" Type="http://schemas.openxmlformats.org/officeDocument/2006/relationships/hyperlink" Target="https://www.gamehost.ca/" TargetMode="External"/><Relationship Id="rId48" Type="http://schemas.openxmlformats.org/officeDocument/2006/relationships/hyperlink" Target="https://coremt.com/" TargetMode="External"/><Relationship Id="rId64" Type="http://schemas.openxmlformats.org/officeDocument/2006/relationships/hyperlink" Target="https://www.giii.com/" TargetMode="External"/><Relationship Id="rId69" Type="http://schemas.openxmlformats.org/officeDocument/2006/relationships/hyperlink" Target="https://www.pason.com/" TargetMode="External"/><Relationship Id="rId113" Type="http://schemas.openxmlformats.org/officeDocument/2006/relationships/hyperlink" Target="https://www.vareximaging.com/" TargetMode="External"/><Relationship Id="rId118" Type="http://schemas.openxmlformats.org/officeDocument/2006/relationships/hyperlink" Target="https://www.dailyjournal.com/" TargetMode="External"/><Relationship Id="rId134" Type="http://schemas.openxmlformats.org/officeDocument/2006/relationships/hyperlink" Target="https://www.enghouse.com/" TargetMode="External"/><Relationship Id="rId139" Type="http://schemas.openxmlformats.org/officeDocument/2006/relationships/hyperlink" Target="https://www.naturalgrocers.com/" TargetMode="External"/><Relationship Id="rId80" Type="http://schemas.openxmlformats.org/officeDocument/2006/relationships/hyperlink" Target="https://bonterraenergy.com/" TargetMode="External"/><Relationship Id="rId85" Type="http://schemas.openxmlformats.org/officeDocument/2006/relationships/hyperlink" Target="https://www.butlernational.com/" TargetMode="External"/><Relationship Id="rId12" Type="http://schemas.openxmlformats.org/officeDocument/2006/relationships/hyperlink" Target="https://www.hammondmfg.com/" TargetMode="External"/><Relationship Id="rId17" Type="http://schemas.openxmlformats.org/officeDocument/2006/relationships/hyperlink" Target="https://ir.tripadvisor.com/" TargetMode="External"/><Relationship Id="rId33" Type="http://schemas.openxmlformats.org/officeDocument/2006/relationships/hyperlink" Target="https://ftgcorp.com/" TargetMode="External"/><Relationship Id="rId38" Type="http://schemas.openxmlformats.org/officeDocument/2006/relationships/hyperlink" Target="https://www.movadogroup.com/" TargetMode="External"/><Relationship Id="rId59" Type="http://schemas.openxmlformats.org/officeDocument/2006/relationships/hyperlink" Target="https://www.kronosww.com/" TargetMode="External"/><Relationship Id="rId103" Type="http://schemas.openxmlformats.org/officeDocument/2006/relationships/hyperlink" Target="https://sonotek.com/" TargetMode="External"/><Relationship Id="rId108" Type="http://schemas.openxmlformats.org/officeDocument/2006/relationships/hyperlink" Target="https://www.swkholdco.com/" TargetMode="External"/><Relationship Id="rId124" Type="http://schemas.openxmlformats.org/officeDocument/2006/relationships/hyperlink" Target="https://www.climbglobalsolutions.com/" TargetMode="External"/><Relationship Id="rId129" Type="http://schemas.openxmlformats.org/officeDocument/2006/relationships/hyperlink" Target="https://www.creditriskmonitor.com/" TargetMode="External"/><Relationship Id="rId54" Type="http://schemas.openxmlformats.org/officeDocument/2006/relationships/hyperlink" Target="https://spectra-systems.com/" TargetMode="External"/><Relationship Id="rId70" Type="http://schemas.openxmlformats.org/officeDocument/2006/relationships/hyperlink" Target="https://www.johnsonoutdoors.com/" TargetMode="External"/><Relationship Id="rId75" Type="http://schemas.openxmlformats.org/officeDocument/2006/relationships/hyperlink" Target="https://www.compxinternational.com/" TargetMode="External"/><Relationship Id="rId91" Type="http://schemas.openxmlformats.org/officeDocument/2006/relationships/hyperlink" Target="https://www.ennis.com/" TargetMode="External"/><Relationship Id="rId96" Type="http://schemas.openxmlformats.org/officeDocument/2006/relationships/hyperlink" Target="https://www.methode.com/" TargetMode="External"/><Relationship Id="rId140" Type="http://schemas.openxmlformats.org/officeDocument/2006/relationships/hyperlink" Target="https://airboss.com/" TargetMode="External"/><Relationship Id="rId145" Type="http://schemas.openxmlformats.org/officeDocument/2006/relationships/hyperlink" Target="http://www.nobilityhomes.com/" TargetMode="External"/><Relationship Id="rId1" Type="http://schemas.openxmlformats.org/officeDocument/2006/relationships/hyperlink" Target="https://www.shutterstock.com/" TargetMode="External"/><Relationship Id="rId6" Type="http://schemas.openxmlformats.org/officeDocument/2006/relationships/hyperlink" Target="https://ir.amphastar.com/" TargetMode="External"/><Relationship Id="rId23" Type="http://schemas.openxmlformats.org/officeDocument/2006/relationships/hyperlink" Target="https://www.biosyent.com/" TargetMode="External"/><Relationship Id="rId28" Type="http://schemas.openxmlformats.org/officeDocument/2006/relationships/hyperlink" Target="https://www.evolutionpetroleum.com/" TargetMode="External"/><Relationship Id="rId49" Type="http://schemas.openxmlformats.org/officeDocument/2006/relationships/hyperlink" Target="https://phxtech.com/" TargetMode="External"/><Relationship Id="rId114" Type="http://schemas.openxmlformats.org/officeDocument/2006/relationships/hyperlink" Target="https://www.onespan.com/" TargetMode="External"/><Relationship Id="rId119" Type="http://schemas.openxmlformats.org/officeDocument/2006/relationships/hyperlink" Target="https://investors.somero.com/" TargetMode="External"/><Relationship Id="rId44" Type="http://schemas.openxmlformats.org/officeDocument/2006/relationships/hyperlink" Target="https://www.acadiantimber.com/" TargetMode="External"/><Relationship Id="rId60" Type="http://schemas.openxmlformats.org/officeDocument/2006/relationships/hyperlink" Target="https://www.richardsgroup.com/" TargetMode="External"/><Relationship Id="rId65" Type="http://schemas.openxmlformats.org/officeDocument/2006/relationships/hyperlink" Target="https://www.rcihospitality.com/" TargetMode="External"/><Relationship Id="rId81" Type="http://schemas.openxmlformats.org/officeDocument/2006/relationships/hyperlink" Target="https://dynacor.com/en/" TargetMode="External"/><Relationship Id="rId86" Type="http://schemas.openxmlformats.org/officeDocument/2006/relationships/hyperlink" Target="https://www.titanmachinery.com/" TargetMode="External"/><Relationship Id="rId130" Type="http://schemas.openxmlformats.org/officeDocument/2006/relationships/hyperlink" Target="https://www.genie.com/" TargetMode="External"/><Relationship Id="rId135" Type="http://schemas.openxmlformats.org/officeDocument/2006/relationships/hyperlink" Target="https://www.caleres.com/" TargetMode="External"/><Relationship Id="rId13" Type="http://schemas.openxmlformats.org/officeDocument/2006/relationships/hyperlink" Target="https://www.primeenergy.com/" TargetMode="External"/><Relationship Id="rId18" Type="http://schemas.openxmlformats.org/officeDocument/2006/relationships/hyperlink" Target="https://www.integralife.com/" TargetMode="External"/><Relationship Id="rId39" Type="http://schemas.openxmlformats.org/officeDocument/2006/relationships/hyperlink" Target="https://www.scripps.com/" TargetMode="External"/><Relationship Id="rId109" Type="http://schemas.openxmlformats.org/officeDocument/2006/relationships/hyperlink" Target="https://www.star-group.com/" TargetMode="External"/><Relationship Id="rId34" Type="http://schemas.openxmlformats.org/officeDocument/2006/relationships/hyperlink" Target="https://www.vitreousglass.ca/" TargetMode="External"/><Relationship Id="rId50" Type="http://schemas.openxmlformats.org/officeDocument/2006/relationships/hyperlink" Target="https://nacg.ca/" TargetMode="External"/><Relationship Id="rId55" Type="http://schemas.openxmlformats.org/officeDocument/2006/relationships/hyperlink" Target="https://www.winnebagoind.com/" TargetMode="External"/><Relationship Id="rId76" Type="http://schemas.openxmlformats.org/officeDocument/2006/relationships/hyperlink" Target="https://www.buildabear.com/" TargetMode="External"/><Relationship Id="rId97" Type="http://schemas.openxmlformats.org/officeDocument/2006/relationships/hyperlink" Target="https://biorem.com/" TargetMode="External"/><Relationship Id="rId104" Type="http://schemas.openxmlformats.org/officeDocument/2006/relationships/hyperlink" Target="https://www.lassonde.com/en/" TargetMode="External"/><Relationship Id="rId120" Type="http://schemas.openxmlformats.org/officeDocument/2006/relationships/hyperlink" Target="https://kewaunee.com/" TargetMode="External"/><Relationship Id="rId125" Type="http://schemas.openxmlformats.org/officeDocument/2006/relationships/hyperlink" Target="https://www.intest.com/" TargetMode="External"/><Relationship Id="rId141" Type="http://schemas.openxmlformats.org/officeDocument/2006/relationships/hyperlink" Target="https://www.hackettgroup.com/" TargetMode="External"/><Relationship Id="rId146" Type="http://schemas.openxmlformats.org/officeDocument/2006/relationships/hyperlink" Target="https://purecycle.com/" TargetMode="External"/><Relationship Id="rId7" Type="http://schemas.openxmlformats.org/officeDocument/2006/relationships/hyperlink" Target="https://investor.canadagoose.com/" TargetMode="External"/><Relationship Id="rId71" Type="http://schemas.openxmlformats.org/officeDocument/2006/relationships/hyperlink" Target="https://www.escaladeinc.com/" TargetMode="External"/><Relationship Id="rId92" Type="http://schemas.openxmlformats.org/officeDocument/2006/relationships/hyperlink" Target="https://www.innovativeaerosystems.com/" TargetMode="External"/><Relationship Id="rId2" Type="http://schemas.openxmlformats.org/officeDocument/2006/relationships/hyperlink" Target="https://www.crai.com/" TargetMode="External"/><Relationship Id="rId29" Type="http://schemas.openxmlformats.org/officeDocument/2006/relationships/hyperlink" Target="https://www.supremex.com/" TargetMode="External"/><Relationship Id="rId24" Type="http://schemas.openxmlformats.org/officeDocument/2006/relationships/hyperlink" Target="https://www.amcon.com/" TargetMode="External"/><Relationship Id="rId40" Type="http://schemas.openxmlformats.org/officeDocument/2006/relationships/hyperlink" Target="https://www.pizzapizza.ca/" TargetMode="External"/><Relationship Id="rId45" Type="http://schemas.openxmlformats.org/officeDocument/2006/relationships/hyperlink" Target="https://www.campingworld.com/" TargetMode="External"/><Relationship Id="rId66" Type="http://schemas.openxmlformats.org/officeDocument/2006/relationships/hyperlink" Target="https://www.angi.com/" TargetMode="External"/><Relationship Id="rId87" Type="http://schemas.openxmlformats.org/officeDocument/2006/relationships/hyperlink" Target="https://www.egain.com/" TargetMode="External"/><Relationship Id="rId110" Type="http://schemas.openxmlformats.org/officeDocument/2006/relationships/hyperlink" Target="https://www.stepan.com/" TargetMode="External"/><Relationship Id="rId115" Type="http://schemas.openxmlformats.org/officeDocument/2006/relationships/hyperlink" Target="https://www.friedmanindustries.com/" TargetMode="External"/><Relationship Id="rId131" Type="http://schemas.openxmlformats.org/officeDocument/2006/relationships/hyperlink" Target="https://reservepetroleum.com/" TargetMode="External"/><Relationship Id="rId136" Type="http://schemas.openxmlformats.org/officeDocument/2006/relationships/hyperlink" Target="https://www.kforce.com/" TargetMode="External"/><Relationship Id="rId61" Type="http://schemas.openxmlformats.org/officeDocument/2006/relationships/hyperlink" Target="https://mccoyglobal.com/" TargetMode="External"/><Relationship Id="rId82" Type="http://schemas.openxmlformats.org/officeDocument/2006/relationships/hyperlink" Target="https://www.apei.com/" TargetMode="External"/><Relationship Id="rId19" Type="http://schemas.openxmlformats.org/officeDocument/2006/relationships/hyperlink" Target="https://www.upboundgroup.com/" TargetMode="External"/><Relationship Id="rId14" Type="http://schemas.openxmlformats.org/officeDocument/2006/relationships/hyperlink" Target="https://www.oxfordinc.com/" TargetMode="External"/><Relationship Id="rId30" Type="http://schemas.openxmlformats.org/officeDocument/2006/relationships/hyperlink" Target="https://www.smpcorp.com/" TargetMode="External"/><Relationship Id="rId35" Type="http://schemas.openxmlformats.org/officeDocument/2006/relationships/hyperlink" Target="https://www.crackerbarrel.com/" TargetMode="External"/><Relationship Id="rId56" Type="http://schemas.openxmlformats.org/officeDocument/2006/relationships/hyperlink" Target="https://www.andrewpeller.com/" TargetMode="External"/><Relationship Id="rId77" Type="http://schemas.openxmlformats.org/officeDocument/2006/relationships/hyperlink" Target="https://www.highlinerfoods.com/" TargetMode="External"/><Relationship Id="rId100" Type="http://schemas.openxmlformats.org/officeDocument/2006/relationships/hyperlink" Target="https://www.cascades.com/" TargetMode="External"/><Relationship Id="rId105" Type="http://schemas.openxmlformats.org/officeDocument/2006/relationships/hyperlink" Target="https://www.mercerint.com/" TargetMode="External"/><Relationship Id="rId126" Type="http://schemas.openxmlformats.org/officeDocument/2006/relationships/hyperlink" Target="https://www.carriageservices.com/" TargetMode="External"/><Relationship Id="rId147" Type="http://schemas.openxmlformats.org/officeDocument/2006/relationships/hyperlink" Target="https://www.koppers.com/" TargetMode="External"/><Relationship Id="rId8" Type="http://schemas.openxmlformats.org/officeDocument/2006/relationships/hyperlink" Target="https://www.simulations-plus.com/" TargetMode="External"/><Relationship Id="rId51" Type="http://schemas.openxmlformats.org/officeDocument/2006/relationships/hyperlink" Target="https://www.universallogistics.com/" TargetMode="External"/><Relationship Id="rId72" Type="http://schemas.openxmlformats.org/officeDocument/2006/relationships/hyperlink" Target="https://investors.advansix.com/" TargetMode="External"/><Relationship Id="rId93" Type="http://schemas.openxmlformats.org/officeDocument/2006/relationships/hyperlink" Target="https://www.flanigans.net/" TargetMode="External"/><Relationship Id="rId98" Type="http://schemas.openxmlformats.org/officeDocument/2006/relationships/hyperlink" Target="https://www.mullen-group.com/" TargetMode="External"/><Relationship Id="rId121" Type="http://schemas.openxmlformats.org/officeDocument/2006/relationships/hyperlink" Target="https://sciengineeredmaterials.com/" TargetMode="External"/><Relationship Id="rId142" Type="http://schemas.openxmlformats.org/officeDocument/2006/relationships/hyperlink" Target="https://tricanwellservice.com/" TargetMode="External"/><Relationship Id="rId3" Type="http://schemas.openxmlformats.org/officeDocument/2006/relationships/hyperlink" Target="https://www.mtyfoodgroup.com/" TargetMode="External"/><Relationship Id="rId25" Type="http://schemas.openxmlformats.org/officeDocument/2006/relationships/hyperlink" Target="https://www.insperity.com/" TargetMode="External"/><Relationship Id="rId46" Type="http://schemas.openxmlformats.org/officeDocument/2006/relationships/hyperlink" Target="https://epsilonenergy.com/" TargetMode="External"/><Relationship Id="rId67" Type="http://schemas.openxmlformats.org/officeDocument/2006/relationships/hyperlink" Target="https://vecima.com/" TargetMode="External"/><Relationship Id="rId116" Type="http://schemas.openxmlformats.org/officeDocument/2006/relationships/hyperlink" Target="https://vasocorporation.com/" TargetMode="External"/><Relationship Id="rId137" Type="http://schemas.openxmlformats.org/officeDocument/2006/relationships/hyperlink" Target="https://www.xpel.com/" TargetMode="External"/><Relationship Id="rId20" Type="http://schemas.openxmlformats.org/officeDocument/2006/relationships/hyperlink" Target="https://www.united-guardian.com/" TargetMode="External"/><Relationship Id="rId41" Type="http://schemas.openxmlformats.org/officeDocument/2006/relationships/hyperlink" Target="https://investors.designerbrands.com/" TargetMode="External"/><Relationship Id="rId62" Type="http://schemas.openxmlformats.org/officeDocument/2006/relationships/hyperlink" Target="https://www.marinemax.com/" TargetMode="External"/><Relationship Id="rId83" Type="http://schemas.openxmlformats.org/officeDocument/2006/relationships/hyperlink" Target="https://www.millerind.com/" TargetMode="External"/><Relationship Id="rId88" Type="http://schemas.openxmlformats.org/officeDocument/2006/relationships/hyperlink" Target="https://ir.douglasdynamics.com/" TargetMode="External"/><Relationship Id="rId111" Type="http://schemas.openxmlformats.org/officeDocument/2006/relationships/hyperlink" Target="https://www.villagesupermarket.com/" TargetMode="External"/><Relationship Id="rId132" Type="http://schemas.openxmlformats.org/officeDocument/2006/relationships/hyperlink" Target="https://entravision.com/" TargetMode="External"/><Relationship Id="rId15" Type="http://schemas.openxmlformats.org/officeDocument/2006/relationships/hyperlink" Target="https://investor.cars.com/" TargetMode="External"/><Relationship Id="rId36" Type="http://schemas.openxmlformats.org/officeDocument/2006/relationships/hyperlink" Target="https://www.electromed.com/" TargetMode="External"/><Relationship Id="rId57" Type="http://schemas.openxmlformats.org/officeDocument/2006/relationships/hyperlink" Target="https://www.elpolloloco.com/" TargetMode="External"/><Relationship Id="rId106" Type="http://schemas.openxmlformats.org/officeDocument/2006/relationships/hyperlink" Target="https://pulseseismic.com/" TargetMode="External"/><Relationship Id="rId127" Type="http://schemas.openxmlformats.org/officeDocument/2006/relationships/hyperlink" Target="https://corby.ca/en/" TargetMode="External"/><Relationship Id="rId10" Type="http://schemas.openxmlformats.org/officeDocument/2006/relationships/hyperlink" Target="https://www.healthstream.com/" TargetMode="External"/><Relationship Id="rId31" Type="http://schemas.openxmlformats.org/officeDocument/2006/relationships/hyperlink" Target="https://www.crowncrafts.com/" TargetMode="External"/><Relationship Id="rId52" Type="http://schemas.openxmlformats.org/officeDocument/2006/relationships/hyperlink" Target="https://wherefoodcomesfrom.com/" TargetMode="External"/><Relationship Id="rId73" Type="http://schemas.openxmlformats.org/officeDocument/2006/relationships/hyperlink" Target="https://www.pollardbanknote.com/" TargetMode="External"/><Relationship Id="rId78" Type="http://schemas.openxmlformats.org/officeDocument/2006/relationships/hyperlink" Target="https://www.genesco.com/" TargetMode="External"/><Relationship Id="rId94" Type="http://schemas.openxmlformats.org/officeDocument/2006/relationships/hyperlink" Target="https://www.martinrea.com/" TargetMode="External"/><Relationship Id="rId99" Type="http://schemas.openxmlformats.org/officeDocument/2006/relationships/hyperlink" Target="https://www.georgerisk.com/" TargetMode="External"/><Relationship Id="rId101" Type="http://schemas.openxmlformats.org/officeDocument/2006/relationships/hyperlink" Target="https://www.cogeco.ca/" TargetMode="External"/><Relationship Id="rId122" Type="http://schemas.openxmlformats.org/officeDocument/2006/relationships/hyperlink" Target="https://www.bluelinxco.com/" TargetMode="External"/><Relationship Id="rId143" Type="http://schemas.openxmlformats.org/officeDocument/2006/relationships/hyperlink" Target="https://www.insteel.com/" TargetMode="External"/><Relationship Id="rId148" Type="http://schemas.openxmlformats.org/officeDocument/2006/relationships/hyperlink" Target="https://monarchcement.com/" TargetMode="External"/><Relationship Id="rId4" Type="http://schemas.openxmlformats.org/officeDocument/2006/relationships/hyperlink" Target="https://www.medifastinc.com/" TargetMode="External"/><Relationship Id="rId9" Type="http://schemas.openxmlformats.org/officeDocument/2006/relationships/hyperlink" Target="https://www.cmgl.ca/" TargetMode="External"/><Relationship Id="rId26" Type="http://schemas.openxmlformats.org/officeDocument/2006/relationships/hyperlink" Target="https://www.superiorgroupofcompanies.com/" TargetMode="External"/><Relationship Id="rId47" Type="http://schemas.openxmlformats.org/officeDocument/2006/relationships/hyperlink" Target="https://www.apog.com/" TargetMode="External"/><Relationship Id="rId68" Type="http://schemas.openxmlformats.org/officeDocument/2006/relationships/hyperlink" Target="https://www.americanwoodmark.com/" TargetMode="External"/><Relationship Id="rId89" Type="http://schemas.openxmlformats.org/officeDocument/2006/relationships/hyperlink" Target="https://ir.energyrecovery.com/" TargetMode="External"/><Relationship Id="rId112" Type="http://schemas.openxmlformats.org/officeDocument/2006/relationships/hyperlink" Target="https://www.adfgroup.com/" TargetMode="External"/><Relationship Id="rId133" Type="http://schemas.openxmlformats.org/officeDocument/2006/relationships/hyperlink" Target="https://www.barrettbusiness.com/" TargetMode="External"/><Relationship Id="rId16" Type="http://schemas.openxmlformats.org/officeDocument/2006/relationships/hyperlink" Target="https://www.immersion.com/" TargetMode="External"/><Relationship Id="rId37" Type="http://schemas.openxmlformats.org/officeDocument/2006/relationships/hyperlink" Target="https://www.forrester.com/" TargetMode="External"/><Relationship Id="rId58" Type="http://schemas.openxmlformats.org/officeDocument/2006/relationships/hyperlink" Target="https://www.middlesexwater.com/" TargetMode="External"/><Relationship Id="rId79" Type="http://schemas.openxmlformats.org/officeDocument/2006/relationships/hyperlink" Target="https://flexiblesolutions.com/investor-info/" TargetMode="External"/><Relationship Id="rId102" Type="http://schemas.openxmlformats.org/officeDocument/2006/relationships/hyperlink" Target="https://www.zumiez.com/" TargetMode="External"/><Relationship Id="rId123" Type="http://schemas.openxmlformats.org/officeDocument/2006/relationships/hyperlink" Target="https://www.alphaprotech.com/" TargetMode="External"/><Relationship Id="rId144" Type="http://schemas.openxmlformats.org/officeDocument/2006/relationships/hyperlink" Target="https://sbgi.net/" TargetMode="External"/><Relationship Id="rId90" Type="http://schemas.openxmlformats.org/officeDocument/2006/relationships/hyperlink" Target="https://www.daveandbuster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162"/>
  <sheetViews>
    <sheetView zoomScaleNormal="100" workbookViewId="0">
      <pane xSplit="2" ySplit="12" topLeftCell="C133" activePane="bottomRight" state="frozen"/>
      <selection pane="topRight" activeCell="C1" sqref="C1"/>
      <selection pane="bottomLeft" activeCell="A13" sqref="A13"/>
      <selection pane="bottomRight" activeCell="F139" sqref="F139"/>
    </sheetView>
  </sheetViews>
  <sheetFormatPr baseColWidth="10" defaultColWidth="8.6640625" defaultRowHeight="15" customHeight="1" x14ac:dyDescent="0.2"/>
  <cols>
    <col min="1" max="1" width="5" customWidth="1"/>
    <col min="2" max="2" width="36" customWidth="1"/>
    <col min="3" max="3" width="14" customWidth="1"/>
    <col min="4" max="4" width="16" customWidth="1"/>
    <col min="5" max="5" width="9" customWidth="1"/>
    <col min="6" max="6" width="55" customWidth="1"/>
    <col min="7" max="7" width="22" customWidth="1"/>
    <col min="8" max="8" width="13" customWidth="1"/>
    <col min="9" max="9" width="14" customWidth="1"/>
    <col min="10" max="10" width="11" customWidth="1"/>
    <col min="11" max="11" width="13" customWidth="1"/>
    <col min="12" max="12" width="12" customWidth="1"/>
    <col min="13" max="13" width="11" customWidth="1"/>
    <col min="14" max="15" width="10" customWidth="1"/>
    <col min="16" max="16" width="13" customWidth="1"/>
    <col min="17" max="17" width="11" customWidth="1"/>
  </cols>
  <sheetData>
    <row r="2" spans="1:17" ht="21" x14ac:dyDescent="0.25">
      <c r="B2" s="1" t="s">
        <v>0</v>
      </c>
    </row>
    <row r="3" spans="1:17" x14ac:dyDescent="0.2">
      <c r="B3" s="2" t="s">
        <v>1</v>
      </c>
    </row>
    <row r="5" spans="1:17" ht="16" x14ac:dyDescent="0.2">
      <c r="B5" s="3" t="s">
        <v>2</v>
      </c>
    </row>
    <row r="6" spans="1:17" x14ac:dyDescent="0.2">
      <c r="B6" s="4" t="s">
        <v>3</v>
      </c>
    </row>
    <row r="7" spans="1:17" x14ac:dyDescent="0.2">
      <c r="B7" s="4" t="s">
        <v>4</v>
      </c>
    </row>
    <row r="8" spans="1:17" x14ac:dyDescent="0.2">
      <c r="B8" s="4" t="s">
        <v>5</v>
      </c>
    </row>
    <row r="9" spans="1:17" x14ac:dyDescent="0.2">
      <c r="B9" s="4" t="s">
        <v>6</v>
      </c>
    </row>
    <row r="10" spans="1:17" x14ac:dyDescent="0.2">
      <c r="B10" s="4" t="s">
        <v>7</v>
      </c>
    </row>
    <row r="12" spans="1:17" ht="30" customHeight="1" x14ac:dyDescent="0.2">
      <c r="A12" s="5" t="s">
        <v>8</v>
      </c>
      <c r="B12" s="5" t="s">
        <v>9</v>
      </c>
      <c r="C12" s="5" t="s">
        <v>10</v>
      </c>
      <c r="D12" s="5" t="s">
        <v>11</v>
      </c>
      <c r="E12" s="5" t="s">
        <v>12</v>
      </c>
      <c r="F12" s="5" t="s">
        <v>13</v>
      </c>
      <c r="G12" s="5" t="s">
        <v>14</v>
      </c>
      <c r="H12" s="5" t="s">
        <v>15</v>
      </c>
      <c r="I12" s="5" t="s">
        <v>16</v>
      </c>
      <c r="J12" s="5" t="s">
        <v>17</v>
      </c>
      <c r="K12" s="5" t="s">
        <v>18</v>
      </c>
      <c r="L12" s="5" t="s">
        <v>19</v>
      </c>
      <c r="M12" s="5" t="s">
        <v>20</v>
      </c>
      <c r="N12" s="5" t="s">
        <v>21</v>
      </c>
      <c r="O12" s="5" t="s">
        <v>22</v>
      </c>
      <c r="P12" s="5" t="s">
        <v>23</v>
      </c>
      <c r="Q12" s="5" t="s">
        <v>24</v>
      </c>
    </row>
    <row r="13" spans="1:17" ht="30" x14ac:dyDescent="0.2">
      <c r="A13" s="6">
        <v>1</v>
      </c>
      <c r="B13" s="7" t="s">
        <v>25</v>
      </c>
      <c r="C13" s="6" t="s">
        <v>26</v>
      </c>
      <c r="D13" s="6" t="s">
        <v>27</v>
      </c>
      <c r="E13" s="6">
        <v>2003</v>
      </c>
      <c r="F13" s="7" t="s">
        <v>28</v>
      </c>
      <c r="G13" s="6" t="s">
        <v>29</v>
      </c>
      <c r="H13" s="8">
        <v>577.29999999999995</v>
      </c>
      <c r="I13" s="8">
        <v>581</v>
      </c>
      <c r="J13" s="9">
        <v>0.99363166953528403</v>
      </c>
      <c r="K13" s="10">
        <v>0.115232358003442</v>
      </c>
      <c r="L13" s="10">
        <v>1.00262998179243</v>
      </c>
      <c r="M13" s="10">
        <v>1.1142061281337001E-2</v>
      </c>
      <c r="N13" s="11">
        <v>1</v>
      </c>
      <c r="O13" s="11">
        <v>1</v>
      </c>
      <c r="P13" s="10">
        <v>0.61399999999999999</v>
      </c>
      <c r="Q13" s="12">
        <v>94.597861900393497</v>
      </c>
    </row>
    <row r="14" spans="1:17" ht="30" x14ac:dyDescent="0.2">
      <c r="A14" s="6">
        <v>2</v>
      </c>
      <c r="B14" s="7" t="s">
        <v>30</v>
      </c>
      <c r="C14" s="6" t="s">
        <v>31</v>
      </c>
      <c r="D14" s="6" t="s">
        <v>27</v>
      </c>
      <c r="E14" s="6">
        <v>1965</v>
      </c>
      <c r="F14" s="7" t="s">
        <v>32</v>
      </c>
      <c r="G14" s="6" t="s">
        <v>33</v>
      </c>
      <c r="H14" s="8">
        <v>1020</v>
      </c>
      <c r="I14" s="8">
        <v>213.6</v>
      </c>
      <c r="J14" s="9">
        <v>4.7752808988764102</v>
      </c>
      <c r="K14" s="10">
        <v>0.21488764044943801</v>
      </c>
      <c r="L14" s="10">
        <v>1.314039408867</v>
      </c>
      <c r="M14" s="10">
        <v>-0.21976744186046501</v>
      </c>
      <c r="N14" s="11">
        <v>1</v>
      </c>
      <c r="O14" s="11">
        <v>1</v>
      </c>
      <c r="P14" s="10">
        <v>0.95</v>
      </c>
      <c r="Q14" s="12">
        <v>93.047362654247095</v>
      </c>
    </row>
    <row r="15" spans="1:17" ht="30" x14ac:dyDescent="0.2">
      <c r="A15" s="6">
        <v>3</v>
      </c>
      <c r="B15" s="7" t="s">
        <v>34</v>
      </c>
      <c r="C15" s="6" t="s">
        <v>35</v>
      </c>
      <c r="D15" s="6" t="s">
        <v>36</v>
      </c>
      <c r="E15" s="6">
        <v>1979</v>
      </c>
      <c r="F15" s="7" t="s">
        <v>37</v>
      </c>
      <c r="G15" s="6" t="s">
        <v>38</v>
      </c>
      <c r="H15" s="8">
        <v>655.7</v>
      </c>
      <c r="I15" s="8">
        <v>613.4</v>
      </c>
      <c r="J15" s="9">
        <v>1.06895989566352</v>
      </c>
      <c r="K15" s="10">
        <v>9.5573850668405597E-2</v>
      </c>
      <c r="L15" s="10">
        <v>4.9908579465541498</v>
      </c>
      <c r="M15" s="10">
        <v>0.15577889447236201</v>
      </c>
      <c r="N15" s="11">
        <v>0.9</v>
      </c>
      <c r="O15" s="11">
        <v>1</v>
      </c>
      <c r="P15" s="10">
        <v>0.64</v>
      </c>
      <c r="Q15" s="12">
        <v>91.246251908510104</v>
      </c>
    </row>
    <row r="16" spans="1:17" ht="45" x14ac:dyDescent="0.2">
      <c r="A16" s="6">
        <v>4</v>
      </c>
      <c r="B16" s="7" t="s">
        <v>39</v>
      </c>
      <c r="C16" s="6" t="s">
        <v>40</v>
      </c>
      <c r="D16" s="6" t="s">
        <v>27</v>
      </c>
      <c r="E16" s="6">
        <v>1981</v>
      </c>
      <c r="F16" s="7" t="s">
        <v>41</v>
      </c>
      <c r="G16" s="6" t="s">
        <v>33</v>
      </c>
      <c r="H16" s="8">
        <v>103.7</v>
      </c>
      <c r="I16" s="8">
        <v>198.9</v>
      </c>
      <c r="J16" s="9">
        <v>0.52136752136752096</v>
      </c>
      <c r="K16" s="10">
        <v>0.28455253896430399</v>
      </c>
      <c r="L16" s="10">
        <v>0.40546448087431702</v>
      </c>
      <c r="M16" s="10">
        <v>-7.5630252100840401E-2</v>
      </c>
      <c r="N16" s="11">
        <v>0.9</v>
      </c>
      <c r="O16" s="11">
        <v>1</v>
      </c>
      <c r="P16" s="10">
        <v>0.71199999999999997</v>
      </c>
      <c r="Q16" s="12">
        <v>91.014889265129099</v>
      </c>
    </row>
    <row r="17" spans="1:17" ht="45" x14ac:dyDescent="0.2">
      <c r="A17" s="6">
        <v>5</v>
      </c>
      <c r="B17" s="7" t="s">
        <v>42</v>
      </c>
      <c r="C17" s="6" t="s">
        <v>43</v>
      </c>
      <c r="D17" s="6" t="s">
        <v>27</v>
      </c>
      <c r="E17" s="6">
        <v>1867</v>
      </c>
      <c r="F17" s="7" t="s">
        <v>44</v>
      </c>
      <c r="G17" s="6" t="s">
        <v>38</v>
      </c>
      <c r="H17" s="8">
        <v>175.2</v>
      </c>
      <c r="I17" s="8">
        <v>117.6</v>
      </c>
      <c r="J17" s="9">
        <v>1.4897959183673499</v>
      </c>
      <c r="K17" s="10">
        <v>8.7244897959183706E-2</v>
      </c>
      <c r="L17" s="10">
        <v>0.57704654895666097</v>
      </c>
      <c r="M17" s="10">
        <v>0.14245810055865901</v>
      </c>
      <c r="N17" s="11">
        <v>1</v>
      </c>
      <c r="O17" s="11">
        <v>1</v>
      </c>
      <c r="P17" s="10">
        <v>0.60640000000000005</v>
      </c>
      <c r="Q17" s="12">
        <v>89.570943553016903</v>
      </c>
    </row>
    <row r="18" spans="1:17" ht="30" x14ac:dyDescent="0.2">
      <c r="A18" s="6">
        <v>6</v>
      </c>
      <c r="B18" s="7" t="s">
        <v>45</v>
      </c>
      <c r="C18" s="6" t="s">
        <v>46</v>
      </c>
      <c r="D18" s="6" t="s">
        <v>27</v>
      </c>
      <c r="E18" s="6"/>
      <c r="F18" s="7" t="s">
        <v>47</v>
      </c>
      <c r="G18" s="6" t="s">
        <v>33</v>
      </c>
      <c r="H18" s="8">
        <v>880.6</v>
      </c>
      <c r="I18" s="8">
        <v>788.8</v>
      </c>
      <c r="J18" s="9">
        <v>1.1163793103448301</v>
      </c>
      <c r="K18" s="10">
        <v>0.15418990872211</v>
      </c>
      <c r="L18" s="10">
        <v>1.82092476489028</v>
      </c>
      <c r="M18" s="10">
        <v>1.4736842105263199E-2</v>
      </c>
      <c r="N18" s="11">
        <v>0.9</v>
      </c>
      <c r="O18" s="11">
        <v>1</v>
      </c>
      <c r="P18" s="10">
        <v>0.59299999999999997</v>
      </c>
      <c r="Q18" s="12">
        <v>87.1506966167413</v>
      </c>
    </row>
    <row r="19" spans="1:17" ht="30" x14ac:dyDescent="0.2">
      <c r="A19" s="6">
        <v>7</v>
      </c>
      <c r="B19" s="7" t="s">
        <v>48</v>
      </c>
      <c r="C19" s="6" t="s">
        <v>49</v>
      </c>
      <c r="D19" s="6" t="s">
        <v>36</v>
      </c>
      <c r="E19" s="6"/>
      <c r="F19" s="7" t="s">
        <v>50</v>
      </c>
      <c r="G19" s="6" t="s">
        <v>38</v>
      </c>
      <c r="H19" s="8">
        <v>1049.5999999999999</v>
      </c>
      <c r="I19" s="8">
        <v>389.6</v>
      </c>
      <c r="J19" s="9">
        <v>2.6940451745379899</v>
      </c>
      <c r="K19" s="10">
        <v>9.8498459958932194E-2</v>
      </c>
      <c r="L19" s="10">
        <v>2.63410483321988</v>
      </c>
      <c r="M19" s="10">
        <v>-4.4204322200392901E-2</v>
      </c>
      <c r="N19" s="11">
        <v>1</v>
      </c>
      <c r="O19" s="11">
        <v>1</v>
      </c>
      <c r="P19" s="10">
        <v>0.69699999999999995</v>
      </c>
      <c r="Q19" s="12">
        <v>86.675408090530794</v>
      </c>
    </row>
    <row r="20" spans="1:17" ht="30" x14ac:dyDescent="0.2">
      <c r="A20" s="6">
        <v>8</v>
      </c>
      <c r="B20" s="7" t="s">
        <v>51</v>
      </c>
      <c r="C20" s="6" t="s">
        <v>52</v>
      </c>
      <c r="D20" s="6" t="s">
        <v>27</v>
      </c>
      <c r="E20" s="6">
        <v>1996</v>
      </c>
      <c r="F20" s="7" t="s">
        <v>53</v>
      </c>
      <c r="G20" s="6" t="s">
        <v>54</v>
      </c>
      <c r="H20" s="8">
        <v>244.2</v>
      </c>
      <c r="I20" s="8">
        <v>124.8</v>
      </c>
      <c r="J20" s="9">
        <v>1.9567307692307701</v>
      </c>
      <c r="K20" s="10">
        <v>-6.9270833333333406E-2</v>
      </c>
      <c r="L20" s="10">
        <v>2.8203883495145599</v>
      </c>
      <c r="M20" s="10">
        <v>0.168604651162791</v>
      </c>
      <c r="N20" s="11">
        <v>0.9</v>
      </c>
      <c r="O20" s="11">
        <v>1</v>
      </c>
      <c r="P20" s="10">
        <v>0.76</v>
      </c>
      <c r="Q20" s="12">
        <v>85.5511603076</v>
      </c>
    </row>
    <row r="21" spans="1:17" ht="30" x14ac:dyDescent="0.2">
      <c r="A21" s="6">
        <v>9</v>
      </c>
      <c r="B21" s="7" t="s">
        <v>55</v>
      </c>
      <c r="C21" s="6" t="s">
        <v>56</v>
      </c>
      <c r="D21" s="6" t="s">
        <v>36</v>
      </c>
      <c r="E21" s="6">
        <v>1978</v>
      </c>
      <c r="F21" s="7" t="s">
        <v>57</v>
      </c>
      <c r="G21" s="6" t="s">
        <v>33</v>
      </c>
      <c r="H21" s="8">
        <v>231.8</v>
      </c>
      <c r="I21" s="8">
        <v>59.8</v>
      </c>
      <c r="J21" s="9">
        <v>3.8762541806020101</v>
      </c>
      <c r="K21" s="10">
        <v>0.26086956521739102</v>
      </c>
      <c r="L21" s="10">
        <v>0.64579606440071602</v>
      </c>
      <c r="M21" s="10">
        <v>5.6818181818181802E-2</v>
      </c>
      <c r="N21" s="11">
        <v>1</v>
      </c>
      <c r="O21" s="11">
        <v>1</v>
      </c>
      <c r="P21" s="10">
        <v>0.81599999999999995</v>
      </c>
      <c r="Q21" s="12">
        <v>85.520279409672597</v>
      </c>
    </row>
    <row r="22" spans="1:17" ht="30" x14ac:dyDescent="0.2">
      <c r="A22" s="6">
        <v>10</v>
      </c>
      <c r="B22" s="7" t="s">
        <v>58</v>
      </c>
      <c r="C22" s="6" t="s">
        <v>59</v>
      </c>
      <c r="D22" s="6" t="s">
        <v>27</v>
      </c>
      <c r="E22" s="6">
        <v>1990</v>
      </c>
      <c r="F22" s="7" t="s">
        <v>60</v>
      </c>
      <c r="G22" s="6" t="s">
        <v>54</v>
      </c>
      <c r="H22" s="8">
        <v>615.6</v>
      </c>
      <c r="I22" s="8">
        <v>354</v>
      </c>
      <c r="J22" s="9">
        <v>1.73898305084746</v>
      </c>
      <c r="K22" s="10">
        <v>4.6327683615819203E-2</v>
      </c>
      <c r="L22" s="10">
        <v>0.58302967204581002</v>
      </c>
      <c r="M22" s="10">
        <v>-6.2305295950155798E-2</v>
      </c>
      <c r="N22" s="11">
        <v>1</v>
      </c>
      <c r="O22" s="11">
        <v>1</v>
      </c>
      <c r="P22" s="10">
        <v>0.75</v>
      </c>
      <c r="Q22" s="12">
        <v>84.998860914546299</v>
      </c>
    </row>
    <row r="23" spans="1:17" ht="30" x14ac:dyDescent="0.2">
      <c r="A23" s="6">
        <v>11</v>
      </c>
      <c r="B23" s="7" t="s">
        <v>61</v>
      </c>
      <c r="C23" s="6" t="s">
        <v>62</v>
      </c>
      <c r="D23" s="6" t="s">
        <v>36</v>
      </c>
      <c r="E23" s="6">
        <v>1989</v>
      </c>
      <c r="F23" s="7" t="s">
        <v>63</v>
      </c>
      <c r="G23" s="6" t="s">
        <v>33</v>
      </c>
      <c r="H23" s="8">
        <v>23.7</v>
      </c>
      <c r="I23" s="8">
        <v>7.7</v>
      </c>
      <c r="J23" s="9">
        <v>3.0779220779220799</v>
      </c>
      <c r="K23" s="10">
        <v>0.17694805194805199</v>
      </c>
      <c r="L23" s="10">
        <v>2.14525139664805</v>
      </c>
      <c r="M23" s="10">
        <v>1.0989010989011E-2</v>
      </c>
      <c r="N23" s="11">
        <v>0.9</v>
      </c>
      <c r="O23" s="11">
        <v>0.9</v>
      </c>
      <c r="P23" s="10">
        <v>0.64</v>
      </c>
      <c r="Q23" s="12">
        <v>84.545319226194906</v>
      </c>
    </row>
    <row r="24" spans="1:17" ht="30" x14ac:dyDescent="0.2">
      <c r="A24" s="6">
        <v>12</v>
      </c>
      <c r="B24" s="7" t="s">
        <v>64</v>
      </c>
      <c r="C24" s="6" t="s">
        <v>65</v>
      </c>
      <c r="D24" s="6" t="s">
        <v>36</v>
      </c>
      <c r="E24" s="6">
        <v>1917</v>
      </c>
      <c r="F24" s="7" t="s">
        <v>66</v>
      </c>
      <c r="G24" s="6" t="s">
        <v>33</v>
      </c>
      <c r="H24" s="8">
        <v>88.4</v>
      </c>
      <c r="I24" s="8">
        <v>96</v>
      </c>
      <c r="J24" s="9">
        <v>0.92083333333333295</v>
      </c>
      <c r="K24" s="10">
        <v>0.120755208333333</v>
      </c>
      <c r="L24" s="10">
        <v>1.38051044083527</v>
      </c>
      <c r="M24" s="10">
        <v>0</v>
      </c>
      <c r="N24" s="11">
        <v>1</v>
      </c>
      <c r="O24" s="11">
        <v>0.9</v>
      </c>
      <c r="P24" s="10">
        <v>0.33800000000000002</v>
      </c>
      <c r="Q24" s="12">
        <v>83.809556555512003</v>
      </c>
    </row>
    <row r="25" spans="1:17" ht="30" x14ac:dyDescent="0.2">
      <c r="A25" s="6">
        <v>13</v>
      </c>
      <c r="B25" s="7" t="s">
        <v>67</v>
      </c>
      <c r="C25" s="6" t="s">
        <v>68</v>
      </c>
      <c r="D25" s="6" t="s">
        <v>27</v>
      </c>
      <c r="E25" s="6">
        <v>1973</v>
      </c>
      <c r="F25" s="7" t="s">
        <v>69</v>
      </c>
      <c r="G25" s="6" t="s">
        <v>33</v>
      </c>
      <c r="H25" s="8">
        <v>338.8</v>
      </c>
      <c r="I25" s="8">
        <v>202.9</v>
      </c>
      <c r="J25" s="9">
        <v>1.66978807294234</v>
      </c>
      <c r="K25" s="10">
        <v>0.19985214391325801</v>
      </c>
      <c r="L25" s="10">
        <v>2.33673469387755</v>
      </c>
      <c r="M25" s="10">
        <v>6.0869565217391397E-2</v>
      </c>
      <c r="N25" s="11">
        <v>0.7</v>
      </c>
      <c r="O25" s="11">
        <v>1</v>
      </c>
      <c r="P25" s="10">
        <v>0.85</v>
      </c>
      <c r="Q25" s="12">
        <v>83.703079711247199</v>
      </c>
    </row>
    <row r="26" spans="1:17" ht="30" x14ac:dyDescent="0.2">
      <c r="A26" s="6">
        <v>14</v>
      </c>
      <c r="B26" s="7" t="s">
        <v>70</v>
      </c>
      <c r="C26" s="6" t="s">
        <v>71</v>
      </c>
      <c r="D26" s="6" t="s">
        <v>27</v>
      </c>
      <c r="E26" s="6">
        <v>1942</v>
      </c>
      <c r="F26" s="7" t="s">
        <v>72</v>
      </c>
      <c r="G26" s="6" t="s">
        <v>33</v>
      </c>
      <c r="H26" s="8">
        <v>538.1</v>
      </c>
      <c r="I26" s="8">
        <v>622.6</v>
      </c>
      <c r="J26" s="9">
        <v>0.86427883070992595</v>
      </c>
      <c r="K26" s="10">
        <v>0.13009155155798299</v>
      </c>
      <c r="L26" s="10">
        <v>0.46303006561551302</v>
      </c>
      <c r="M26" s="10">
        <v>-8.4337349397590494E-2</v>
      </c>
      <c r="N26" s="11">
        <v>0.8</v>
      </c>
      <c r="O26" s="11">
        <v>1</v>
      </c>
      <c r="P26" s="10">
        <v>0.46129999999999999</v>
      </c>
      <c r="Q26" s="12">
        <v>83.206093688179607</v>
      </c>
    </row>
    <row r="27" spans="1:17" ht="45" x14ac:dyDescent="0.2">
      <c r="A27" s="6">
        <v>15</v>
      </c>
      <c r="B27" s="7" t="s">
        <v>73</v>
      </c>
      <c r="C27" s="6" t="s">
        <v>74</v>
      </c>
      <c r="D27" s="6" t="s">
        <v>27</v>
      </c>
      <c r="E27" s="6">
        <v>2007</v>
      </c>
      <c r="F27" s="7" t="s">
        <v>75</v>
      </c>
      <c r="G27" s="6" t="s">
        <v>29</v>
      </c>
      <c r="H27" s="8">
        <v>446.2</v>
      </c>
      <c r="I27" s="8">
        <v>472.5</v>
      </c>
      <c r="J27" s="9">
        <v>0.94433862433862403</v>
      </c>
      <c r="K27" s="10">
        <v>0.107883597883598</v>
      </c>
      <c r="L27" s="10">
        <v>0.14231558995419399</v>
      </c>
      <c r="M27" s="10">
        <v>-0.115921787709497</v>
      </c>
      <c r="N27" s="11">
        <v>0.8</v>
      </c>
      <c r="O27" s="11">
        <v>1</v>
      </c>
      <c r="P27" s="10">
        <v>0.94</v>
      </c>
      <c r="Q27" s="12">
        <v>83.103183651786495</v>
      </c>
    </row>
    <row r="28" spans="1:17" ht="30" x14ac:dyDescent="0.2">
      <c r="A28" s="6">
        <v>16</v>
      </c>
      <c r="B28" s="7" t="s">
        <v>76</v>
      </c>
      <c r="C28" s="6" t="s">
        <v>77</v>
      </c>
      <c r="D28" s="6" t="s">
        <v>27</v>
      </c>
      <c r="E28" s="6">
        <v>1993</v>
      </c>
      <c r="F28" s="7" t="s">
        <v>78</v>
      </c>
      <c r="G28" s="6" t="s">
        <v>54</v>
      </c>
      <c r="H28" s="8">
        <v>209.7</v>
      </c>
      <c r="I28" s="8">
        <v>558.70000000000005</v>
      </c>
      <c r="J28" s="9">
        <v>0.37533560050116299</v>
      </c>
      <c r="K28" s="10">
        <v>6.3316627886164295E-2</v>
      </c>
      <c r="L28" s="10">
        <v>23.5410094637224</v>
      </c>
      <c r="M28" s="10">
        <v>0.13793103448275901</v>
      </c>
      <c r="N28" s="11">
        <v>0.7</v>
      </c>
      <c r="O28" s="11">
        <v>0.7</v>
      </c>
      <c r="P28" s="10">
        <v>0.8</v>
      </c>
      <c r="Q28" s="12">
        <v>83.027586206896501</v>
      </c>
    </row>
    <row r="29" spans="1:17" ht="30" x14ac:dyDescent="0.2">
      <c r="A29" s="6">
        <v>17</v>
      </c>
      <c r="B29" s="7" t="s">
        <v>79</v>
      </c>
      <c r="C29" s="6" t="s">
        <v>80</v>
      </c>
      <c r="D29" s="6" t="s">
        <v>27</v>
      </c>
      <c r="E29" s="6">
        <v>2000</v>
      </c>
      <c r="F29" s="7" t="s">
        <v>81</v>
      </c>
      <c r="G29" s="6" t="s">
        <v>38</v>
      </c>
      <c r="H29" s="8">
        <v>1092.5</v>
      </c>
      <c r="I29" s="8">
        <v>645</v>
      </c>
      <c r="J29" s="9">
        <v>1.6937984496123999</v>
      </c>
      <c r="K29" s="10">
        <v>2.9069767441860499E-2</v>
      </c>
      <c r="L29" s="10">
        <v>0.27770270270270297</v>
      </c>
      <c r="M29" s="10">
        <v>-0.108236895847515</v>
      </c>
      <c r="N29" s="11">
        <v>0.7</v>
      </c>
      <c r="O29" s="11">
        <v>0.9</v>
      </c>
      <c r="P29" s="10">
        <v>0.91400000000000003</v>
      </c>
      <c r="Q29" s="12">
        <v>82.902374485474596</v>
      </c>
    </row>
    <row r="30" spans="1:17" ht="30" x14ac:dyDescent="0.2">
      <c r="A30" s="6">
        <v>18</v>
      </c>
      <c r="B30" s="7" t="s">
        <v>82</v>
      </c>
      <c r="C30" s="6" t="s">
        <v>83</v>
      </c>
      <c r="D30" s="6" t="s">
        <v>27</v>
      </c>
      <c r="E30" s="6">
        <v>1989</v>
      </c>
      <c r="F30" s="7" t="s">
        <v>84</v>
      </c>
      <c r="G30" s="6" t="s">
        <v>54</v>
      </c>
      <c r="H30" s="8">
        <v>702.2</v>
      </c>
      <c r="I30" s="8">
        <v>1043.5</v>
      </c>
      <c r="J30" s="9">
        <v>0.67292764734068</v>
      </c>
      <c r="K30" s="10">
        <v>-6.5917585050311506E-2</v>
      </c>
      <c r="L30" s="10">
        <v>0.64822094546920705</v>
      </c>
      <c r="M30" s="10">
        <v>-3.1565656565656602E-2</v>
      </c>
      <c r="N30" s="11">
        <v>0.8</v>
      </c>
      <c r="O30" s="11">
        <v>1</v>
      </c>
      <c r="P30" s="10">
        <v>0.55500000000000005</v>
      </c>
      <c r="Q30" s="12">
        <v>82.847411524540405</v>
      </c>
    </row>
    <row r="31" spans="1:17" ht="30" x14ac:dyDescent="0.2">
      <c r="A31" s="6">
        <v>19</v>
      </c>
      <c r="B31" s="7" t="s">
        <v>85</v>
      </c>
      <c r="C31" s="6" t="s">
        <v>86</v>
      </c>
      <c r="D31" s="6" t="s">
        <v>27</v>
      </c>
      <c r="E31" s="6">
        <v>1994</v>
      </c>
      <c r="F31" s="7" t="s">
        <v>87</v>
      </c>
      <c r="G31" s="6" t="s">
        <v>54</v>
      </c>
      <c r="H31" s="8">
        <v>1034.5</v>
      </c>
      <c r="I31" s="8">
        <v>695.7</v>
      </c>
      <c r="J31" s="9">
        <v>1.4869915193330501</v>
      </c>
      <c r="K31" s="10">
        <v>7.3278712088543904E-2</v>
      </c>
      <c r="L31" s="10">
        <v>0.58441602267741999</v>
      </c>
      <c r="M31" s="10">
        <v>0.103578154425612</v>
      </c>
      <c r="N31" s="11">
        <v>0.8</v>
      </c>
      <c r="O31" s="11">
        <v>1</v>
      </c>
      <c r="P31" s="10">
        <v>0.47670000000000001</v>
      </c>
      <c r="Q31" s="12">
        <v>81.880644302276295</v>
      </c>
    </row>
    <row r="32" spans="1:17" ht="30" x14ac:dyDescent="0.2">
      <c r="A32" s="6">
        <v>20</v>
      </c>
      <c r="B32" s="7" t="s">
        <v>88</v>
      </c>
      <c r="C32" s="6" t="s">
        <v>89</v>
      </c>
      <c r="D32" s="6" t="s">
        <v>27</v>
      </c>
      <c r="E32" s="6">
        <v>1950</v>
      </c>
      <c r="F32" s="7" t="s">
        <v>90</v>
      </c>
      <c r="G32" s="6" t="s">
        <v>33</v>
      </c>
      <c r="H32" s="8">
        <v>30</v>
      </c>
      <c r="I32" s="8">
        <v>11.9</v>
      </c>
      <c r="J32" s="9">
        <v>2.52100840336134</v>
      </c>
      <c r="K32" s="10">
        <v>0.23067226890756301</v>
      </c>
      <c r="L32" s="10">
        <v>3.5897435897435902E-2</v>
      </c>
      <c r="M32" s="10">
        <v>0</v>
      </c>
      <c r="N32" s="11">
        <v>1</v>
      </c>
      <c r="O32" s="11">
        <v>1</v>
      </c>
      <c r="P32" s="10">
        <v>0.5</v>
      </c>
      <c r="Q32" s="12">
        <v>81.572448582698101</v>
      </c>
    </row>
    <row r="33" spans="1:17" ht="30" x14ac:dyDescent="0.2">
      <c r="A33" s="6">
        <v>21</v>
      </c>
      <c r="B33" s="7" t="s">
        <v>91</v>
      </c>
      <c r="C33" s="6" t="s">
        <v>92</v>
      </c>
      <c r="D33" s="6" t="s">
        <v>27</v>
      </c>
      <c r="E33" s="6">
        <v>1985</v>
      </c>
      <c r="F33" s="7" t="s">
        <v>93</v>
      </c>
      <c r="G33" s="6" t="s">
        <v>38</v>
      </c>
      <c r="H33" s="8">
        <v>1134.5</v>
      </c>
      <c r="I33" s="8">
        <v>725.5</v>
      </c>
      <c r="J33" s="9">
        <v>1.5637491385251601</v>
      </c>
      <c r="K33" s="10">
        <v>9.3604410751206096E-2</v>
      </c>
      <c r="L33" s="10">
        <v>2.53132708436112</v>
      </c>
      <c r="M33" s="10">
        <v>4.6199701937406801E-2</v>
      </c>
      <c r="N33" s="11">
        <v>1</v>
      </c>
      <c r="O33" s="11">
        <v>1</v>
      </c>
      <c r="P33" s="10">
        <v>0.313</v>
      </c>
      <c r="Q33" s="12">
        <v>81.509987306577599</v>
      </c>
    </row>
    <row r="34" spans="1:17" ht="30" x14ac:dyDescent="0.2">
      <c r="A34" s="6">
        <v>22</v>
      </c>
      <c r="B34" s="7" t="s">
        <v>94</v>
      </c>
      <c r="C34" s="6" t="s">
        <v>95</v>
      </c>
      <c r="D34" s="6" t="s">
        <v>27</v>
      </c>
      <c r="E34" s="6">
        <v>1978</v>
      </c>
      <c r="F34" s="7" t="s">
        <v>96</v>
      </c>
      <c r="G34" s="6" t="s">
        <v>33</v>
      </c>
      <c r="H34" s="8">
        <v>482.1</v>
      </c>
      <c r="I34" s="8">
        <v>649</v>
      </c>
      <c r="J34" s="9">
        <v>0.74283513097072396</v>
      </c>
      <c r="K34" s="10">
        <v>0.12361325115562399</v>
      </c>
      <c r="L34" s="10">
        <v>0.143513891665001</v>
      </c>
      <c r="M34" s="10">
        <v>-0.25474254742547398</v>
      </c>
      <c r="N34" s="11">
        <v>1</v>
      </c>
      <c r="O34" s="11">
        <v>1</v>
      </c>
      <c r="P34" s="10">
        <v>0.34</v>
      </c>
      <c r="Q34" s="12">
        <v>81.3894408907708</v>
      </c>
    </row>
    <row r="35" spans="1:17" ht="45" x14ac:dyDescent="0.2">
      <c r="A35" s="6">
        <v>23</v>
      </c>
      <c r="B35" s="7" t="s">
        <v>97</v>
      </c>
      <c r="C35" s="6" t="s">
        <v>98</v>
      </c>
      <c r="D35" s="6" t="s">
        <v>36</v>
      </c>
      <c r="E35" s="6">
        <v>2006</v>
      </c>
      <c r="F35" s="7" t="s">
        <v>99</v>
      </c>
      <c r="G35" s="6" t="s">
        <v>33</v>
      </c>
      <c r="H35" s="8">
        <v>131.9</v>
      </c>
      <c r="I35" s="8">
        <v>24.3</v>
      </c>
      <c r="J35" s="9">
        <v>5.42798353909465</v>
      </c>
      <c r="K35" s="10">
        <v>0.211111111111111</v>
      </c>
      <c r="L35" s="10">
        <v>1.3671875</v>
      </c>
      <c r="M35" s="10">
        <v>-0.2</v>
      </c>
      <c r="N35" s="11">
        <v>1</v>
      </c>
      <c r="O35" s="11">
        <v>1</v>
      </c>
      <c r="P35" s="10">
        <v>0.84499999999999997</v>
      </c>
      <c r="Q35" s="12">
        <v>81.0476893295411</v>
      </c>
    </row>
    <row r="36" spans="1:17" ht="30" x14ac:dyDescent="0.2">
      <c r="A36" s="6">
        <v>24</v>
      </c>
      <c r="B36" s="7" t="s">
        <v>100</v>
      </c>
      <c r="C36" s="6" t="s">
        <v>101</v>
      </c>
      <c r="D36" s="6" t="s">
        <v>27</v>
      </c>
      <c r="E36" s="6">
        <v>1965</v>
      </c>
      <c r="F36" s="7" t="s">
        <v>102</v>
      </c>
      <c r="G36" s="6" t="s">
        <v>29</v>
      </c>
      <c r="H36" s="8">
        <v>75.400000000000006</v>
      </c>
      <c r="I36" s="8">
        <v>113.1</v>
      </c>
      <c r="J36" s="9">
        <v>0.66666666666666696</v>
      </c>
      <c r="K36" s="10">
        <v>6.8346595932802803E-2</v>
      </c>
      <c r="L36" s="10">
        <v>1.5184405803522001</v>
      </c>
      <c r="M36" s="10">
        <v>-0.120910384068279</v>
      </c>
      <c r="N36" s="11">
        <v>1</v>
      </c>
      <c r="O36" s="11">
        <v>0.8</v>
      </c>
      <c r="P36" s="10">
        <v>7.1999999999999995E-2</v>
      </c>
      <c r="Q36" s="12">
        <v>80.434734444601503</v>
      </c>
    </row>
    <row r="37" spans="1:17" ht="30" x14ac:dyDescent="0.2">
      <c r="A37" s="6">
        <v>25</v>
      </c>
      <c r="B37" s="7" t="s">
        <v>103</v>
      </c>
      <c r="C37" s="6" t="s">
        <v>104</v>
      </c>
      <c r="D37" s="6" t="s">
        <v>27</v>
      </c>
      <c r="E37" s="6">
        <v>1986</v>
      </c>
      <c r="F37" s="7" t="s">
        <v>105</v>
      </c>
      <c r="G37" s="6" t="s">
        <v>38</v>
      </c>
      <c r="H37" s="8">
        <v>819.5</v>
      </c>
      <c r="I37" s="8">
        <v>46</v>
      </c>
      <c r="J37" s="9">
        <v>17.815217391304401</v>
      </c>
      <c r="K37" s="10">
        <v>2.35869565217391</v>
      </c>
      <c r="L37" s="10">
        <v>1.31598272872539</v>
      </c>
      <c r="M37" s="10">
        <v>-9.0909090909090801E-2</v>
      </c>
      <c r="N37" s="11">
        <v>0.9</v>
      </c>
      <c r="O37" s="11">
        <v>0.9</v>
      </c>
      <c r="P37" s="10">
        <v>0.1449</v>
      </c>
      <c r="Q37" s="12">
        <v>80.405779302932103</v>
      </c>
    </row>
    <row r="38" spans="1:17" ht="45" x14ac:dyDescent="0.2">
      <c r="A38" s="6">
        <v>26</v>
      </c>
      <c r="B38" s="7" t="s">
        <v>106</v>
      </c>
      <c r="C38" s="6" t="s">
        <v>107</v>
      </c>
      <c r="D38" s="6" t="s">
        <v>27</v>
      </c>
      <c r="E38" s="6">
        <v>1920</v>
      </c>
      <c r="F38" s="7" t="s">
        <v>108</v>
      </c>
      <c r="G38" s="6" t="s">
        <v>38</v>
      </c>
      <c r="H38" s="8">
        <v>161</v>
      </c>
      <c r="I38" s="8">
        <v>192.8</v>
      </c>
      <c r="J38" s="9">
        <v>0.8350622406639</v>
      </c>
      <c r="K38" s="10">
        <v>-5.4849585062240703E-3</v>
      </c>
      <c r="L38" s="10">
        <v>1.2414885193982601</v>
      </c>
      <c r="M38" s="10">
        <v>2.68456375838926E-2</v>
      </c>
      <c r="N38" s="11">
        <v>0.9</v>
      </c>
      <c r="O38" s="11">
        <v>0.9</v>
      </c>
      <c r="P38" s="10">
        <v>0.26100000000000001</v>
      </c>
      <c r="Q38" s="12">
        <v>80.331444628680103</v>
      </c>
    </row>
    <row r="39" spans="1:17" ht="30" x14ac:dyDescent="0.2">
      <c r="A39" s="6">
        <v>27</v>
      </c>
      <c r="B39" s="7" t="s">
        <v>109</v>
      </c>
      <c r="C39" s="6" t="s">
        <v>110</v>
      </c>
      <c r="D39" s="6" t="s">
        <v>36</v>
      </c>
      <c r="E39" s="6">
        <v>1899</v>
      </c>
      <c r="F39" s="7" t="s">
        <v>111</v>
      </c>
      <c r="G39" s="6" t="s">
        <v>29</v>
      </c>
      <c r="H39" s="8">
        <v>605.9</v>
      </c>
      <c r="I39" s="8">
        <v>735.4</v>
      </c>
      <c r="J39" s="9">
        <v>0.82390535762850203</v>
      </c>
      <c r="K39" s="10">
        <v>0.108580364427522</v>
      </c>
      <c r="L39" s="10">
        <v>0.904941660947152</v>
      </c>
      <c r="M39" s="10">
        <v>4.3701799485861302E-2</v>
      </c>
      <c r="N39" s="11">
        <v>1</v>
      </c>
      <c r="O39" s="11">
        <v>1</v>
      </c>
      <c r="P39" s="10">
        <v>0.10299999999999999</v>
      </c>
      <c r="Q39" s="12">
        <v>80.273930015176006</v>
      </c>
    </row>
    <row r="40" spans="1:17" ht="30" x14ac:dyDescent="0.2">
      <c r="A40" s="6">
        <v>28</v>
      </c>
      <c r="B40" s="7" t="s">
        <v>112</v>
      </c>
      <c r="C40" s="6" t="s">
        <v>113</v>
      </c>
      <c r="D40" s="6" t="s">
        <v>27</v>
      </c>
      <c r="E40" s="6"/>
      <c r="F40" s="7" t="s">
        <v>114</v>
      </c>
      <c r="G40" s="6" t="s">
        <v>33</v>
      </c>
      <c r="H40" s="8">
        <v>156.6</v>
      </c>
      <c r="I40" s="8">
        <v>71.8</v>
      </c>
      <c r="J40" s="9">
        <v>2.1810584958217301</v>
      </c>
      <c r="K40" s="10">
        <v>0.22033426183843999</v>
      </c>
      <c r="L40" s="10">
        <v>2.0035087719298299</v>
      </c>
      <c r="M40" s="10">
        <v>2.4242424242424201E-2</v>
      </c>
      <c r="N40" s="11">
        <v>0.9</v>
      </c>
      <c r="O40" s="11">
        <v>1</v>
      </c>
      <c r="P40" s="10">
        <v>0.33100000000000002</v>
      </c>
      <c r="Q40" s="12">
        <v>80.030644990493101</v>
      </c>
    </row>
    <row r="41" spans="1:17" ht="30" x14ac:dyDescent="0.2">
      <c r="A41" s="6">
        <v>29</v>
      </c>
      <c r="B41" s="7" t="s">
        <v>115</v>
      </c>
      <c r="C41" s="6" t="s">
        <v>116</v>
      </c>
      <c r="D41" s="6" t="s">
        <v>36</v>
      </c>
      <c r="E41" s="6">
        <v>1977</v>
      </c>
      <c r="F41" s="7" t="s">
        <v>117</v>
      </c>
      <c r="G41" s="6" t="s">
        <v>29</v>
      </c>
      <c r="H41" s="8">
        <v>64.7</v>
      </c>
      <c r="I41" s="8">
        <v>78.900000000000006</v>
      </c>
      <c r="J41" s="9">
        <v>0.82002534854245901</v>
      </c>
      <c r="K41" s="10">
        <v>0.109980988593156</v>
      </c>
      <c r="L41" s="10">
        <v>0.67698744769874497</v>
      </c>
      <c r="M41" s="10">
        <v>-0.143356643356643</v>
      </c>
      <c r="N41" s="11">
        <v>0.8</v>
      </c>
      <c r="O41" s="11">
        <v>1</v>
      </c>
      <c r="P41" s="10">
        <v>0.26500000000000001</v>
      </c>
      <c r="Q41" s="12">
        <v>79.822221923840701</v>
      </c>
    </row>
    <row r="42" spans="1:17" ht="45" x14ac:dyDescent="0.2">
      <c r="A42" s="6">
        <v>30</v>
      </c>
      <c r="B42" s="7" t="s">
        <v>118</v>
      </c>
      <c r="C42" s="6" t="s">
        <v>119</v>
      </c>
      <c r="D42" s="6" t="s">
        <v>27</v>
      </c>
      <c r="E42" s="6">
        <v>1919</v>
      </c>
      <c r="F42" s="7" t="s">
        <v>120</v>
      </c>
      <c r="G42" s="6" t="s">
        <v>38</v>
      </c>
      <c r="H42" s="8">
        <v>805.7</v>
      </c>
      <c r="I42" s="8">
        <v>698.3</v>
      </c>
      <c r="J42" s="9">
        <v>1.15380209079192</v>
      </c>
      <c r="K42" s="10">
        <v>5.6673349563224999E-2</v>
      </c>
      <c r="L42" s="10">
        <v>0.692205951818611</v>
      </c>
      <c r="M42" s="10">
        <v>-2.5974025974026E-2</v>
      </c>
      <c r="N42" s="11">
        <v>1</v>
      </c>
      <c r="O42" s="11">
        <v>0.9</v>
      </c>
      <c r="P42" s="10">
        <v>0.31900000000000001</v>
      </c>
      <c r="Q42" s="12">
        <v>79.739353355120301</v>
      </c>
    </row>
    <row r="43" spans="1:17" ht="30" x14ac:dyDescent="0.2">
      <c r="A43" s="6">
        <v>31</v>
      </c>
      <c r="B43" s="7" t="s">
        <v>121</v>
      </c>
      <c r="C43" s="6" t="s">
        <v>122</v>
      </c>
      <c r="D43" s="6" t="s">
        <v>27</v>
      </c>
      <c r="E43" s="6">
        <v>1957</v>
      </c>
      <c r="F43" s="7" t="s">
        <v>123</v>
      </c>
      <c r="G43" s="6" t="s">
        <v>29</v>
      </c>
      <c r="H43" s="8">
        <v>28.7</v>
      </c>
      <c r="I43" s="8">
        <v>39.6</v>
      </c>
      <c r="J43" s="9">
        <v>0.72474747474747503</v>
      </c>
      <c r="K43" s="10">
        <v>3.2828282828282797E-2</v>
      </c>
      <c r="L43" s="10">
        <v>0.12754409769335101</v>
      </c>
      <c r="M43" s="10">
        <v>0.06</v>
      </c>
      <c r="N43" s="11">
        <v>0.9</v>
      </c>
      <c r="O43" s="11">
        <v>1</v>
      </c>
      <c r="P43" s="10">
        <v>0.40570000000000001</v>
      </c>
      <c r="Q43" s="12">
        <v>79.703353624572799</v>
      </c>
    </row>
    <row r="44" spans="1:17" ht="30" x14ac:dyDescent="0.2">
      <c r="A44" s="6">
        <v>32</v>
      </c>
      <c r="B44" s="7" t="s">
        <v>124</v>
      </c>
      <c r="C44" s="6" t="s">
        <v>125</v>
      </c>
      <c r="D44" s="6" t="s">
        <v>36</v>
      </c>
      <c r="E44" s="6"/>
      <c r="F44" s="7" t="s">
        <v>126</v>
      </c>
      <c r="G44" s="6" t="s">
        <v>33</v>
      </c>
      <c r="H44" s="8">
        <v>304</v>
      </c>
      <c r="I44" s="8">
        <v>126.2</v>
      </c>
      <c r="J44" s="9">
        <v>2.4088748019017401</v>
      </c>
      <c r="K44" s="10">
        <v>0.16996830427892201</v>
      </c>
      <c r="L44" s="10">
        <v>0.70033670033670004</v>
      </c>
      <c r="M44" s="10">
        <v>-4.0590405904059101E-2</v>
      </c>
      <c r="N44" s="11">
        <v>0.9</v>
      </c>
      <c r="O44" s="11">
        <v>1</v>
      </c>
      <c r="P44" s="10">
        <v>0.8</v>
      </c>
      <c r="Q44" s="12">
        <v>79.570046989337996</v>
      </c>
    </row>
    <row r="45" spans="1:17" ht="30" x14ac:dyDescent="0.2">
      <c r="A45" s="6">
        <v>33</v>
      </c>
      <c r="B45" s="7" t="s">
        <v>127</v>
      </c>
      <c r="C45" s="6" t="s">
        <v>128</v>
      </c>
      <c r="D45" s="6" t="s">
        <v>36</v>
      </c>
      <c r="E45" s="6"/>
      <c r="F45" s="7" t="s">
        <v>129</v>
      </c>
      <c r="G45" s="6" t="s">
        <v>38</v>
      </c>
      <c r="H45" s="8">
        <v>341</v>
      </c>
      <c r="I45" s="8">
        <v>69.5</v>
      </c>
      <c r="J45" s="9">
        <v>4.9064748201438899</v>
      </c>
      <c r="K45" s="10">
        <v>9.4086330935251802E-2</v>
      </c>
      <c r="L45" s="10">
        <v>1.1095679012345701</v>
      </c>
      <c r="M45" s="10">
        <v>0.144144144144144</v>
      </c>
      <c r="N45" s="11">
        <v>1</v>
      </c>
      <c r="O45" s="11">
        <v>0.9</v>
      </c>
      <c r="P45" s="10">
        <v>0.71</v>
      </c>
      <c r="Q45" s="12">
        <v>79.522233420438297</v>
      </c>
    </row>
    <row r="46" spans="1:17" ht="30" x14ac:dyDescent="0.2">
      <c r="A46" s="6">
        <v>34</v>
      </c>
      <c r="B46" s="7" t="s">
        <v>130</v>
      </c>
      <c r="C46" s="6" t="s">
        <v>131</v>
      </c>
      <c r="D46" s="6" t="s">
        <v>36</v>
      </c>
      <c r="E46" s="6">
        <v>1992</v>
      </c>
      <c r="F46" s="7" t="s">
        <v>132</v>
      </c>
      <c r="G46" s="6" t="s">
        <v>33</v>
      </c>
      <c r="H46" s="8">
        <v>30.7</v>
      </c>
      <c r="I46" s="8">
        <v>3.59</v>
      </c>
      <c r="J46" s="9">
        <v>8.5515320334261808</v>
      </c>
      <c r="K46" s="10">
        <v>0.54038997214484696</v>
      </c>
      <c r="L46" s="10">
        <v>0.93379790940766505</v>
      </c>
      <c r="M46" s="10">
        <v>1.11642743221691E-2</v>
      </c>
      <c r="N46" s="11">
        <v>1</v>
      </c>
      <c r="O46" s="11">
        <v>1</v>
      </c>
      <c r="P46" s="10">
        <v>0.55000000000000004</v>
      </c>
      <c r="Q46" s="12">
        <v>79.438272253829894</v>
      </c>
    </row>
    <row r="47" spans="1:17" ht="30" x14ac:dyDescent="0.2">
      <c r="A47" s="6">
        <v>35</v>
      </c>
      <c r="B47" s="7" t="s">
        <v>133</v>
      </c>
      <c r="C47" s="6" t="s">
        <v>134</v>
      </c>
      <c r="D47" s="6" t="s">
        <v>27</v>
      </c>
      <c r="E47" s="6">
        <v>1969</v>
      </c>
      <c r="F47" s="7" t="s">
        <v>135</v>
      </c>
      <c r="G47" s="6" t="s">
        <v>38</v>
      </c>
      <c r="H47" s="8">
        <v>617.79999999999995</v>
      </c>
      <c r="I47" s="8">
        <v>461.7</v>
      </c>
      <c r="J47" s="9">
        <v>1.3380983322503801</v>
      </c>
      <c r="K47" s="10">
        <v>0.121231319038337</v>
      </c>
      <c r="L47" s="10">
        <v>0.14779401721076399</v>
      </c>
      <c r="M47" s="10">
        <v>-7.4688796680498007E-2</v>
      </c>
      <c r="N47" s="11">
        <v>0.9</v>
      </c>
      <c r="O47" s="11">
        <v>1</v>
      </c>
      <c r="P47" s="10">
        <v>0.25600000000000001</v>
      </c>
      <c r="Q47" s="12">
        <v>79.141053113054298</v>
      </c>
    </row>
    <row r="48" spans="1:17" ht="30" x14ac:dyDescent="0.2">
      <c r="A48" s="6">
        <v>36</v>
      </c>
      <c r="B48" s="7" t="s">
        <v>136</v>
      </c>
      <c r="C48" s="6" t="s">
        <v>137</v>
      </c>
      <c r="D48" s="6" t="s">
        <v>27</v>
      </c>
      <c r="E48" s="6">
        <v>1982</v>
      </c>
      <c r="F48" s="7" t="s">
        <v>138</v>
      </c>
      <c r="G48" s="6" t="s">
        <v>33</v>
      </c>
      <c r="H48" s="8">
        <v>196.9</v>
      </c>
      <c r="I48" s="8">
        <v>43.2</v>
      </c>
      <c r="J48" s="9">
        <v>4.5578703703703702</v>
      </c>
      <c r="K48" s="10">
        <v>0.126041666666667</v>
      </c>
      <c r="L48" s="10">
        <v>1.9194915254237299</v>
      </c>
      <c r="M48" s="10">
        <v>4.6539379474940197E-2</v>
      </c>
      <c r="N48" s="11">
        <v>1</v>
      </c>
      <c r="O48" s="11">
        <v>0.9</v>
      </c>
      <c r="P48" s="10">
        <v>0.58099999999999996</v>
      </c>
      <c r="Q48" s="12">
        <v>79.106293231102896</v>
      </c>
    </row>
    <row r="49" spans="1:17" ht="45" x14ac:dyDescent="0.2">
      <c r="A49" s="6">
        <v>37</v>
      </c>
      <c r="B49" s="7" t="s">
        <v>139</v>
      </c>
      <c r="C49" s="6" t="s">
        <v>140</v>
      </c>
      <c r="D49" s="6" t="s">
        <v>27</v>
      </c>
      <c r="E49" s="6">
        <v>1983</v>
      </c>
      <c r="F49" s="7" t="s">
        <v>141</v>
      </c>
      <c r="G49" s="6" t="s">
        <v>38</v>
      </c>
      <c r="H49" s="8">
        <v>119.9</v>
      </c>
      <c r="I49" s="8">
        <v>126.5</v>
      </c>
      <c r="J49" s="9">
        <v>0.94782608695652204</v>
      </c>
      <c r="K49" s="10">
        <v>-0.198221343873518</v>
      </c>
      <c r="L49" s="10">
        <v>0.217111315547378</v>
      </c>
      <c r="M49" s="10">
        <v>3.8251366120218497E-2</v>
      </c>
      <c r="N49" s="11">
        <v>0.7</v>
      </c>
      <c r="O49" s="11">
        <v>0.9</v>
      </c>
      <c r="P49" s="10">
        <v>0.56899999999999995</v>
      </c>
      <c r="Q49" s="12">
        <v>78.763448450533602</v>
      </c>
    </row>
    <row r="50" spans="1:17" ht="30" x14ac:dyDescent="0.2">
      <c r="A50" s="6">
        <v>38</v>
      </c>
      <c r="B50" s="7" t="s">
        <v>142</v>
      </c>
      <c r="C50" s="6" t="s">
        <v>143</v>
      </c>
      <c r="D50" s="6" t="s">
        <v>27</v>
      </c>
      <c r="E50" s="6">
        <v>1881</v>
      </c>
      <c r="F50" s="7" t="s">
        <v>144</v>
      </c>
      <c r="G50" s="6" t="s">
        <v>38</v>
      </c>
      <c r="H50" s="8">
        <v>523.79999999999995</v>
      </c>
      <c r="I50" s="8">
        <v>483.6</v>
      </c>
      <c r="J50" s="9">
        <v>1.08312655086849</v>
      </c>
      <c r="K50" s="10">
        <v>0.103184449958644</v>
      </c>
      <c r="L50" s="10">
        <v>0.169851380042463</v>
      </c>
      <c r="M50" s="10">
        <v>-3.0172413793103401E-2</v>
      </c>
      <c r="N50" s="11">
        <v>0.9</v>
      </c>
      <c r="O50" s="11">
        <v>1</v>
      </c>
      <c r="P50" s="10">
        <v>0.437</v>
      </c>
      <c r="Q50" s="12">
        <v>78.631138604997602</v>
      </c>
    </row>
    <row r="51" spans="1:17" ht="30" x14ac:dyDescent="0.2">
      <c r="A51" s="6">
        <v>39</v>
      </c>
      <c r="B51" s="7" t="s">
        <v>145</v>
      </c>
      <c r="C51" s="6" t="s">
        <v>146</v>
      </c>
      <c r="D51" s="6" t="s">
        <v>27</v>
      </c>
      <c r="E51" s="6">
        <v>1878</v>
      </c>
      <c r="F51" s="7" t="s">
        <v>147</v>
      </c>
      <c r="G51" s="6" t="s">
        <v>38</v>
      </c>
      <c r="H51" s="8">
        <v>345.4</v>
      </c>
      <c r="I51" s="8">
        <v>1246.0999999999999</v>
      </c>
      <c r="J51" s="9">
        <v>0.27718481662787903</v>
      </c>
      <c r="K51" s="10">
        <v>-0.141762298370917</v>
      </c>
      <c r="L51" s="10">
        <v>1.45923384791309</v>
      </c>
      <c r="M51" s="10">
        <v>5.2631578947368501E-2</v>
      </c>
      <c r="N51" s="11">
        <v>0.6</v>
      </c>
      <c r="O51" s="11">
        <v>0.9</v>
      </c>
      <c r="P51" s="10">
        <v>0.39900000000000002</v>
      </c>
      <c r="Q51" s="12">
        <v>78.518397212174307</v>
      </c>
    </row>
    <row r="52" spans="1:17" ht="30" x14ac:dyDescent="0.2">
      <c r="A52" s="6">
        <v>40</v>
      </c>
      <c r="B52" s="7" t="s">
        <v>148</v>
      </c>
      <c r="C52" s="6" t="s">
        <v>149</v>
      </c>
      <c r="D52" s="6" t="s">
        <v>36</v>
      </c>
      <c r="E52" s="6">
        <v>1967</v>
      </c>
      <c r="F52" s="7" t="s">
        <v>150</v>
      </c>
      <c r="G52" s="6" t="s">
        <v>38</v>
      </c>
      <c r="H52" s="8">
        <v>384.2</v>
      </c>
      <c r="I52" s="8">
        <v>207.3</v>
      </c>
      <c r="J52" s="9">
        <v>1.8533526290400399</v>
      </c>
      <c r="K52" s="10">
        <v>0.105402797877472</v>
      </c>
      <c r="L52" s="10">
        <v>8.1784386617100496E-2</v>
      </c>
      <c r="M52" s="10">
        <v>7.4433656957929001E-2</v>
      </c>
      <c r="N52" s="11">
        <v>1</v>
      </c>
      <c r="O52" s="11">
        <v>1</v>
      </c>
      <c r="P52" s="10">
        <v>0.95</v>
      </c>
      <c r="Q52" s="12">
        <v>78.399621016654507</v>
      </c>
    </row>
    <row r="53" spans="1:17" ht="30" x14ac:dyDescent="0.2">
      <c r="A53" s="6">
        <v>41</v>
      </c>
      <c r="B53" s="7" t="s">
        <v>151</v>
      </c>
      <c r="C53" s="6" t="s">
        <v>152</v>
      </c>
      <c r="D53" s="6" t="s">
        <v>27</v>
      </c>
      <c r="E53" s="6"/>
      <c r="F53" s="7" t="s">
        <v>153</v>
      </c>
      <c r="G53" s="6" t="s">
        <v>33</v>
      </c>
      <c r="H53" s="8">
        <v>266</v>
      </c>
      <c r="I53" s="8">
        <v>281.8</v>
      </c>
      <c r="J53" s="9">
        <v>0.94393186657203698</v>
      </c>
      <c r="K53" s="10">
        <v>0.18383605393896399</v>
      </c>
      <c r="L53" s="10">
        <v>6.7850418989257505E-2</v>
      </c>
      <c r="M53" s="10">
        <v>-0.41746411483253598</v>
      </c>
      <c r="N53" s="11">
        <v>0.7</v>
      </c>
      <c r="O53" s="11">
        <v>0.8</v>
      </c>
      <c r="P53" s="10">
        <v>0.41399999999999998</v>
      </c>
      <c r="Q53" s="12">
        <v>78.062243033359806</v>
      </c>
    </row>
    <row r="54" spans="1:17" ht="45" x14ac:dyDescent="0.2">
      <c r="A54" s="6">
        <v>42</v>
      </c>
      <c r="B54" s="7" t="s">
        <v>154</v>
      </c>
      <c r="C54" s="6" t="s">
        <v>155</v>
      </c>
      <c r="D54" s="6" t="s">
        <v>27</v>
      </c>
      <c r="E54" s="6">
        <v>1941</v>
      </c>
      <c r="F54" s="7" t="s">
        <v>156</v>
      </c>
      <c r="G54" s="6" t="s">
        <v>33</v>
      </c>
      <c r="H54" s="8">
        <v>903</v>
      </c>
      <c r="I54" s="8">
        <v>259.10000000000002</v>
      </c>
      <c r="J54" s="9">
        <v>3.4851408722501001</v>
      </c>
      <c r="K54" s="10">
        <v>0.148687765341567</v>
      </c>
      <c r="L54" s="10">
        <v>0.83556918359524701</v>
      </c>
      <c r="M54" s="10">
        <v>-2.7972027972028E-2</v>
      </c>
      <c r="N54" s="11">
        <v>1</v>
      </c>
      <c r="O54" s="11">
        <v>1</v>
      </c>
      <c r="P54" s="10">
        <v>0.38</v>
      </c>
      <c r="Q54" s="12">
        <v>77.8699677075534</v>
      </c>
    </row>
    <row r="55" spans="1:17" ht="30" x14ac:dyDescent="0.2">
      <c r="A55" s="6">
        <v>43</v>
      </c>
      <c r="B55" s="7" t="s">
        <v>157</v>
      </c>
      <c r="C55" s="6" t="s">
        <v>158</v>
      </c>
      <c r="D55" s="6" t="s">
        <v>36</v>
      </c>
      <c r="E55" s="6"/>
      <c r="F55" s="7" t="s">
        <v>159</v>
      </c>
      <c r="G55" s="6" t="s">
        <v>33</v>
      </c>
      <c r="H55" s="8">
        <v>176.8</v>
      </c>
      <c r="I55" s="8">
        <v>87.1</v>
      </c>
      <c r="J55" s="9">
        <v>2.0298507462686599</v>
      </c>
      <c r="K55" s="10">
        <v>0.15688863375430501</v>
      </c>
      <c r="L55" s="10">
        <v>0.22754491017964101</v>
      </c>
      <c r="M55" s="10">
        <v>-0.157894736842105</v>
      </c>
      <c r="N55" s="11">
        <v>1</v>
      </c>
      <c r="O55" s="11">
        <v>1</v>
      </c>
      <c r="P55" s="10">
        <v>0.41</v>
      </c>
      <c r="Q55" s="12">
        <v>77.837125251986294</v>
      </c>
    </row>
    <row r="56" spans="1:17" ht="30" x14ac:dyDescent="0.2">
      <c r="A56" s="6">
        <v>44</v>
      </c>
      <c r="B56" s="7" t="s">
        <v>160</v>
      </c>
      <c r="C56" s="6" t="s">
        <v>161</v>
      </c>
      <c r="D56" s="6" t="s">
        <v>36</v>
      </c>
      <c r="E56" s="6">
        <v>2008</v>
      </c>
      <c r="F56" s="7" t="s">
        <v>162</v>
      </c>
      <c r="G56" s="6" t="s">
        <v>29</v>
      </c>
      <c r="H56" s="8">
        <v>227.4</v>
      </c>
      <c r="I56" s="8">
        <v>262.39999999999998</v>
      </c>
      <c r="J56" s="9">
        <v>0.86661585365853699</v>
      </c>
      <c r="K56" s="10">
        <v>9.4607469512195105E-2</v>
      </c>
      <c r="L56" s="10">
        <v>0.102608695652174</v>
      </c>
      <c r="M56" s="10">
        <v>8.9820359281437098E-2</v>
      </c>
      <c r="N56" s="11">
        <v>1</v>
      </c>
      <c r="O56" s="11">
        <v>0.9</v>
      </c>
      <c r="P56" s="10">
        <v>0.31</v>
      </c>
      <c r="Q56" s="12">
        <v>77.778468625914499</v>
      </c>
    </row>
    <row r="57" spans="1:17" ht="30" x14ac:dyDescent="0.2">
      <c r="A57" s="6">
        <v>45</v>
      </c>
      <c r="B57" s="7" t="s">
        <v>163</v>
      </c>
      <c r="C57" s="6" t="s">
        <v>164</v>
      </c>
      <c r="D57" s="6" t="s">
        <v>27</v>
      </c>
      <c r="E57" s="6">
        <v>1966</v>
      </c>
      <c r="F57" s="7" t="s">
        <v>165</v>
      </c>
      <c r="G57" s="6" t="s">
        <v>38</v>
      </c>
      <c r="H57" s="8">
        <v>397.6</v>
      </c>
      <c r="I57" s="8">
        <v>371.8</v>
      </c>
      <c r="J57" s="9">
        <v>1.0693921463152201</v>
      </c>
      <c r="K57" s="10">
        <v>1.92980096826251E-2</v>
      </c>
      <c r="L57" s="10">
        <v>0.81130734010181205</v>
      </c>
      <c r="M57" s="10">
        <v>-0.25</v>
      </c>
      <c r="N57" s="11">
        <v>0.7</v>
      </c>
      <c r="O57" s="11">
        <v>0.8</v>
      </c>
      <c r="P57" s="10">
        <v>0.21870000000000001</v>
      </c>
      <c r="Q57" s="12">
        <v>77.722110512480995</v>
      </c>
    </row>
    <row r="58" spans="1:17" ht="30" x14ac:dyDescent="0.2">
      <c r="A58" s="6">
        <v>46</v>
      </c>
      <c r="B58" s="7" t="s">
        <v>166</v>
      </c>
      <c r="C58" s="6" t="s">
        <v>167</v>
      </c>
      <c r="D58" s="6" t="s">
        <v>36</v>
      </c>
      <c r="E58" s="6">
        <v>2017</v>
      </c>
      <c r="F58" s="7" t="s">
        <v>168</v>
      </c>
      <c r="G58" s="6" t="s">
        <v>33</v>
      </c>
      <c r="H58" s="8">
        <v>166.8</v>
      </c>
      <c r="I58" s="8">
        <v>96.7</v>
      </c>
      <c r="J58" s="9">
        <v>1.7249224405377499</v>
      </c>
      <c r="K58" s="10">
        <v>0.152197518097208</v>
      </c>
      <c r="L58" s="10">
        <v>1.0401785714285701</v>
      </c>
      <c r="M58" s="10">
        <v>-3.9130434782608602E-2</v>
      </c>
      <c r="N58" s="11">
        <v>0.8</v>
      </c>
      <c r="O58" s="11">
        <v>1</v>
      </c>
      <c r="P58" s="10">
        <v>0.46</v>
      </c>
      <c r="Q58" s="12">
        <v>77.612134523405601</v>
      </c>
    </row>
    <row r="59" spans="1:17" ht="30" x14ac:dyDescent="0.2">
      <c r="A59" s="6">
        <v>47</v>
      </c>
      <c r="B59" s="7" t="s">
        <v>169</v>
      </c>
      <c r="C59" s="6" t="s">
        <v>170</v>
      </c>
      <c r="D59" s="6" t="s">
        <v>27</v>
      </c>
      <c r="E59" s="6"/>
      <c r="F59" s="7" t="s">
        <v>171</v>
      </c>
      <c r="G59" s="6" t="s">
        <v>33</v>
      </c>
      <c r="H59" s="8">
        <v>711.3</v>
      </c>
      <c r="I59" s="8">
        <v>487.9</v>
      </c>
      <c r="J59" s="9">
        <v>1.45788071326091</v>
      </c>
      <c r="K59" s="10">
        <v>0.158844025415044</v>
      </c>
      <c r="L59" s="10">
        <v>0.31667607754564298</v>
      </c>
      <c r="M59" s="10">
        <v>-0.25517241379310301</v>
      </c>
      <c r="N59" s="11">
        <v>0.9</v>
      </c>
      <c r="O59" s="11">
        <v>1</v>
      </c>
      <c r="P59" s="10">
        <v>0.34300000000000003</v>
      </c>
      <c r="Q59" s="12">
        <v>77.584551431804101</v>
      </c>
    </row>
    <row r="60" spans="1:17" ht="30" x14ac:dyDescent="0.2">
      <c r="A60" s="6">
        <v>48</v>
      </c>
      <c r="B60" s="7" t="s">
        <v>172</v>
      </c>
      <c r="C60" s="6" t="s">
        <v>173</v>
      </c>
      <c r="D60" s="6" t="s">
        <v>27</v>
      </c>
      <c r="E60" s="6">
        <v>1985</v>
      </c>
      <c r="F60" s="7" t="s">
        <v>174</v>
      </c>
      <c r="G60" s="6" t="s">
        <v>38</v>
      </c>
      <c r="H60" s="8">
        <v>167.8</v>
      </c>
      <c r="I60" s="8">
        <v>158.19999999999999</v>
      </c>
      <c r="J60" s="9">
        <v>1.06068268015171</v>
      </c>
      <c r="K60" s="10">
        <v>9.0075853350189597E-2</v>
      </c>
      <c r="L60" s="10">
        <v>0.56546598056032005</v>
      </c>
      <c r="M60" s="10">
        <v>0.13577023498694499</v>
      </c>
      <c r="N60" s="11">
        <v>0.8</v>
      </c>
      <c r="O60" s="11">
        <v>0.9</v>
      </c>
      <c r="P60" s="10">
        <v>0.59199999999999997</v>
      </c>
      <c r="Q60" s="12">
        <v>77.050700192454599</v>
      </c>
    </row>
    <row r="61" spans="1:17" ht="30" x14ac:dyDescent="0.2">
      <c r="A61" s="6">
        <v>49</v>
      </c>
      <c r="B61" s="7" t="s">
        <v>175</v>
      </c>
      <c r="C61" s="6" t="s">
        <v>176</v>
      </c>
      <c r="D61" s="6" t="s">
        <v>36</v>
      </c>
      <c r="E61" s="6">
        <v>1995</v>
      </c>
      <c r="F61" s="7" t="s">
        <v>177</v>
      </c>
      <c r="G61" s="6" t="s">
        <v>33</v>
      </c>
      <c r="H61" s="8">
        <v>431.6</v>
      </c>
      <c r="I61" s="8">
        <v>167</v>
      </c>
      <c r="J61" s="9">
        <v>2.5844311377245499</v>
      </c>
      <c r="K61" s="10">
        <v>0.26122754491018002</v>
      </c>
      <c r="L61" s="10">
        <v>3.68325791855204</v>
      </c>
      <c r="M61" s="10">
        <v>0</v>
      </c>
      <c r="N61" s="11">
        <v>0.5</v>
      </c>
      <c r="O61" s="11">
        <v>1</v>
      </c>
      <c r="P61" s="10">
        <v>0.35</v>
      </c>
      <c r="Q61" s="12">
        <v>77.0050147492625</v>
      </c>
    </row>
    <row r="62" spans="1:17" ht="30" x14ac:dyDescent="0.2">
      <c r="A62" s="6">
        <v>50</v>
      </c>
      <c r="B62" s="7" t="s">
        <v>178</v>
      </c>
      <c r="C62" s="6" t="s">
        <v>179</v>
      </c>
      <c r="D62" s="6" t="s">
        <v>36</v>
      </c>
      <c r="E62" s="6"/>
      <c r="F62" s="7" t="s">
        <v>180</v>
      </c>
      <c r="G62" s="6" t="s">
        <v>38</v>
      </c>
      <c r="H62" s="8">
        <v>363.5</v>
      </c>
      <c r="I62" s="8">
        <v>333</v>
      </c>
      <c r="J62" s="9">
        <v>1.0915915915915899</v>
      </c>
      <c r="K62" s="10">
        <v>0.11478978978979</v>
      </c>
      <c r="L62" s="10">
        <v>4.9023314429741696</v>
      </c>
      <c r="M62" s="10">
        <v>7.6666666666666605E-2</v>
      </c>
      <c r="N62" s="11">
        <v>0.9</v>
      </c>
      <c r="O62" s="11">
        <v>1</v>
      </c>
      <c r="P62" s="10">
        <v>0</v>
      </c>
      <c r="Q62" s="12">
        <v>76.995870206489698</v>
      </c>
    </row>
    <row r="63" spans="1:17" ht="30" x14ac:dyDescent="0.2">
      <c r="A63" s="6">
        <v>51</v>
      </c>
      <c r="B63" s="7" t="s">
        <v>181</v>
      </c>
      <c r="C63" s="6" t="s">
        <v>182</v>
      </c>
      <c r="D63" s="6" t="s">
        <v>27</v>
      </c>
      <c r="E63" s="6"/>
      <c r="F63" s="7" t="s">
        <v>183</v>
      </c>
      <c r="G63" s="6" t="s">
        <v>29</v>
      </c>
      <c r="H63" s="8">
        <v>419</v>
      </c>
      <c r="I63" s="8">
        <v>540.4</v>
      </c>
      <c r="J63" s="9">
        <v>0.77535159141376797</v>
      </c>
      <c r="K63" s="10">
        <v>0.13485381199111801</v>
      </c>
      <c r="L63" s="10">
        <v>0.45264727815063399</v>
      </c>
      <c r="M63" s="10">
        <v>-7.3943661971830901E-2</v>
      </c>
      <c r="N63" s="11">
        <v>0.9</v>
      </c>
      <c r="O63" s="11">
        <v>1</v>
      </c>
      <c r="P63" s="10">
        <v>0.1</v>
      </c>
      <c r="Q63" s="12">
        <v>76.919371652500999</v>
      </c>
    </row>
    <row r="64" spans="1:17" ht="30" x14ac:dyDescent="0.2">
      <c r="A64" s="6">
        <v>52</v>
      </c>
      <c r="B64" s="7" t="s">
        <v>184</v>
      </c>
      <c r="C64" s="6" t="s">
        <v>185</v>
      </c>
      <c r="D64" s="6" t="s">
        <v>27</v>
      </c>
      <c r="E64" s="6">
        <v>1999</v>
      </c>
      <c r="F64" s="7" t="s">
        <v>186</v>
      </c>
      <c r="G64" s="6" t="s">
        <v>33</v>
      </c>
      <c r="H64" s="8">
        <v>61.4</v>
      </c>
      <c r="I64" s="8">
        <v>9.31</v>
      </c>
      <c r="J64" s="9">
        <v>6.5950590762620802</v>
      </c>
      <c r="K64" s="10">
        <v>0.209452201933405</v>
      </c>
      <c r="L64" s="10">
        <v>1.1465517241379299</v>
      </c>
      <c r="M64" s="10">
        <v>-0.136894824707846</v>
      </c>
      <c r="N64" s="11">
        <v>1</v>
      </c>
      <c r="O64" s="11">
        <v>1</v>
      </c>
      <c r="P64" s="10">
        <v>0.57999999999999996</v>
      </c>
      <c r="Q64" s="12">
        <v>76.839542296374105</v>
      </c>
    </row>
    <row r="65" spans="1:17" ht="30" x14ac:dyDescent="0.2">
      <c r="A65" s="6">
        <v>53</v>
      </c>
      <c r="B65" s="7" t="s">
        <v>187</v>
      </c>
      <c r="C65" s="6" t="s">
        <v>188</v>
      </c>
      <c r="D65" s="6" t="s">
        <v>27</v>
      </c>
      <c r="E65" s="6">
        <v>1965</v>
      </c>
      <c r="F65" s="7" t="s">
        <v>189</v>
      </c>
      <c r="G65" s="6" t="s">
        <v>38</v>
      </c>
      <c r="H65" s="8">
        <v>251.3</v>
      </c>
      <c r="I65" s="8">
        <v>125</v>
      </c>
      <c r="J65" s="9">
        <v>2.0104000000000002</v>
      </c>
      <c r="K65" s="10">
        <v>0.22259999999999999</v>
      </c>
      <c r="L65" s="10">
        <v>1.28470783257356E-2</v>
      </c>
      <c r="M65" s="10">
        <v>-7.6517150395778305E-2</v>
      </c>
      <c r="N65" s="11">
        <v>1</v>
      </c>
      <c r="O65" s="11">
        <v>1</v>
      </c>
      <c r="P65" s="10">
        <v>0.23300000000000001</v>
      </c>
      <c r="Q65" s="12">
        <v>76.293296924778602</v>
      </c>
    </row>
    <row r="66" spans="1:17" ht="30" x14ac:dyDescent="0.2">
      <c r="A66" s="6">
        <v>54</v>
      </c>
      <c r="B66" s="7" t="s">
        <v>190</v>
      </c>
      <c r="C66" s="6" t="s">
        <v>191</v>
      </c>
      <c r="D66" s="6" t="s">
        <v>27</v>
      </c>
      <c r="E66" s="6"/>
      <c r="F66" s="7" t="s">
        <v>192</v>
      </c>
      <c r="G66" s="6" t="s">
        <v>38</v>
      </c>
      <c r="H66" s="8">
        <v>82.5</v>
      </c>
      <c r="I66" s="8">
        <v>36.299999999999997</v>
      </c>
      <c r="J66" s="9">
        <v>2.2727272727272698</v>
      </c>
      <c r="K66" s="10">
        <v>0.227066115702479</v>
      </c>
      <c r="L66" s="10">
        <v>4.0327868852459003</v>
      </c>
      <c r="M66" s="10">
        <v>7.2847682119205406E-2</v>
      </c>
      <c r="N66" s="11">
        <v>1</v>
      </c>
      <c r="O66" s="11">
        <v>1</v>
      </c>
      <c r="P66" s="10">
        <v>0</v>
      </c>
      <c r="Q66" s="12">
        <v>76.145722713864302</v>
      </c>
    </row>
    <row r="67" spans="1:17" ht="30" x14ac:dyDescent="0.2">
      <c r="A67" s="6">
        <v>55</v>
      </c>
      <c r="B67" s="7" t="s">
        <v>193</v>
      </c>
      <c r="C67" s="6" t="s">
        <v>194</v>
      </c>
      <c r="D67" s="6" t="s">
        <v>27</v>
      </c>
      <c r="E67" s="6">
        <v>1958</v>
      </c>
      <c r="F67" s="7" t="s">
        <v>195</v>
      </c>
      <c r="G67" s="6" t="s">
        <v>29</v>
      </c>
      <c r="H67" s="8">
        <v>960.3</v>
      </c>
      <c r="I67" s="8">
        <v>1224.7</v>
      </c>
      <c r="J67" s="9">
        <v>0.78411039438229801</v>
      </c>
      <c r="K67" s="10">
        <v>0.112496938025639</v>
      </c>
      <c r="L67" s="10">
        <v>1.8572990161979499</v>
      </c>
      <c r="M67" s="10">
        <v>3.2967032967032898E-2</v>
      </c>
      <c r="N67" s="11">
        <v>0.9</v>
      </c>
      <c r="O67" s="11">
        <v>1</v>
      </c>
      <c r="P67" s="10">
        <v>0</v>
      </c>
      <c r="Q67" s="12">
        <v>75.969372648445798</v>
      </c>
    </row>
    <row r="68" spans="1:17" ht="30" x14ac:dyDescent="0.2">
      <c r="A68" s="6">
        <v>56</v>
      </c>
      <c r="B68" s="7" t="s">
        <v>196</v>
      </c>
      <c r="C68" s="6" t="s">
        <v>197</v>
      </c>
      <c r="D68" s="6" t="s">
        <v>36</v>
      </c>
      <c r="E68" s="6">
        <v>1961</v>
      </c>
      <c r="F68" s="7" t="s">
        <v>198</v>
      </c>
      <c r="G68" s="6" t="s">
        <v>38</v>
      </c>
      <c r="H68" s="8">
        <v>180.4</v>
      </c>
      <c r="I68" s="8">
        <v>169.6</v>
      </c>
      <c r="J68" s="9">
        <v>1.0636792452830199</v>
      </c>
      <c r="K68" s="10">
        <v>2.03021816037736E-2</v>
      </c>
      <c r="L68" s="10">
        <v>0.10604288499025299</v>
      </c>
      <c r="M68" s="10">
        <v>2.5821596244131498E-2</v>
      </c>
      <c r="N68" s="11">
        <v>0.8</v>
      </c>
      <c r="O68" s="11">
        <v>0.9</v>
      </c>
      <c r="P68" s="10">
        <v>0.45</v>
      </c>
      <c r="Q68" s="12">
        <v>75.899588719302102</v>
      </c>
    </row>
    <row r="69" spans="1:17" ht="30" x14ac:dyDescent="0.2">
      <c r="A69" s="6">
        <v>57</v>
      </c>
      <c r="B69" s="7" t="s">
        <v>199</v>
      </c>
      <c r="C69" s="6" t="s">
        <v>200</v>
      </c>
      <c r="D69" s="6" t="s">
        <v>27</v>
      </c>
      <c r="E69" s="6">
        <v>1980</v>
      </c>
      <c r="F69" s="7" t="s">
        <v>201</v>
      </c>
      <c r="G69" s="6" t="s">
        <v>38</v>
      </c>
      <c r="H69" s="8">
        <v>399</v>
      </c>
      <c r="I69" s="8">
        <v>291.10000000000002</v>
      </c>
      <c r="J69" s="9">
        <v>1.37066300240467</v>
      </c>
      <c r="K69" s="10">
        <v>8.4678804534524199E-2</v>
      </c>
      <c r="L69" s="10">
        <v>0.28913443830570901</v>
      </c>
      <c r="M69" s="10">
        <v>-0.246153846153846</v>
      </c>
      <c r="N69" s="11">
        <v>0.9</v>
      </c>
      <c r="O69" s="11">
        <v>1</v>
      </c>
      <c r="P69" s="10">
        <v>0.4</v>
      </c>
      <c r="Q69" s="12">
        <v>75.617599893030004</v>
      </c>
    </row>
    <row r="70" spans="1:17" ht="30" x14ac:dyDescent="0.2">
      <c r="A70" s="6">
        <v>58</v>
      </c>
      <c r="B70" s="7" t="s">
        <v>202</v>
      </c>
      <c r="C70" s="6" t="s">
        <v>203</v>
      </c>
      <c r="D70" s="6" t="s">
        <v>27</v>
      </c>
      <c r="E70" s="6">
        <v>1897</v>
      </c>
      <c r="F70" s="7" t="s">
        <v>204</v>
      </c>
      <c r="G70" s="6" t="s">
        <v>38</v>
      </c>
      <c r="H70" s="8">
        <v>963.3</v>
      </c>
      <c r="I70" s="8">
        <v>495.4</v>
      </c>
      <c r="J70" s="9">
        <v>1.94448930157449</v>
      </c>
      <c r="K70" s="10">
        <v>8.1297941057731096E-2</v>
      </c>
      <c r="L70" s="10">
        <v>0.46501128668171499</v>
      </c>
      <c r="M70" s="10">
        <v>0.103658536585366</v>
      </c>
      <c r="N70" s="11">
        <v>1</v>
      </c>
      <c r="O70" s="11">
        <v>1</v>
      </c>
      <c r="P70" s="10">
        <v>0.46100000000000002</v>
      </c>
      <c r="Q70" s="12">
        <v>75.589308904848593</v>
      </c>
    </row>
    <row r="71" spans="1:17" ht="30" x14ac:dyDescent="0.2">
      <c r="A71" s="6">
        <v>59</v>
      </c>
      <c r="B71" s="7" t="s">
        <v>205</v>
      </c>
      <c r="C71" s="6" t="s">
        <v>206</v>
      </c>
      <c r="D71" s="6" t="s">
        <v>27</v>
      </c>
      <c r="E71" s="6">
        <v>1916</v>
      </c>
      <c r="F71" s="7" t="s">
        <v>207</v>
      </c>
      <c r="G71" s="6" t="s">
        <v>29</v>
      </c>
      <c r="H71" s="8">
        <v>587.9</v>
      </c>
      <c r="I71" s="8">
        <v>751.1</v>
      </c>
      <c r="J71" s="9">
        <v>0.78271867927040295</v>
      </c>
      <c r="K71" s="10">
        <v>1.0218346425243E-2</v>
      </c>
      <c r="L71" s="10">
        <v>0.36289672359451802</v>
      </c>
      <c r="M71" s="10">
        <v>-7.7653149266609604E-3</v>
      </c>
      <c r="N71" s="11">
        <v>0.8</v>
      </c>
      <c r="O71" s="11">
        <v>1</v>
      </c>
      <c r="P71" s="10">
        <v>0.31</v>
      </c>
      <c r="Q71" s="12">
        <v>75.549711480525801</v>
      </c>
    </row>
    <row r="72" spans="1:17" ht="30" x14ac:dyDescent="0.2">
      <c r="A72" s="6">
        <v>60</v>
      </c>
      <c r="B72" s="7" t="s">
        <v>208</v>
      </c>
      <c r="C72" s="6" t="s">
        <v>209</v>
      </c>
      <c r="D72" s="6" t="s">
        <v>36</v>
      </c>
      <c r="E72" s="6">
        <v>1912</v>
      </c>
      <c r="F72" s="7" t="s">
        <v>210</v>
      </c>
      <c r="G72" s="6" t="s">
        <v>38</v>
      </c>
      <c r="H72" s="8">
        <v>230.9</v>
      </c>
      <c r="I72" s="8">
        <v>158.4</v>
      </c>
      <c r="J72" s="9">
        <v>1.4577020202020201</v>
      </c>
      <c r="K72" s="10">
        <v>0.15751262626262599</v>
      </c>
      <c r="L72" s="10">
        <v>0.46863295880149802</v>
      </c>
      <c r="M72" s="10">
        <v>5.5555555555555497E-2</v>
      </c>
      <c r="N72" s="11">
        <v>1</v>
      </c>
      <c r="O72" s="11">
        <v>1</v>
      </c>
      <c r="P72" s="10">
        <v>0.23899999999999999</v>
      </c>
      <c r="Q72" s="12">
        <v>75.485874161183702</v>
      </c>
    </row>
    <row r="73" spans="1:17" ht="30" x14ac:dyDescent="0.2">
      <c r="A73" s="6">
        <v>61</v>
      </c>
      <c r="B73" s="7" t="s">
        <v>211</v>
      </c>
      <c r="C73" s="6" t="s">
        <v>212</v>
      </c>
      <c r="D73" s="6" t="s">
        <v>36</v>
      </c>
      <c r="E73" s="6">
        <v>1914</v>
      </c>
      <c r="F73" s="7" t="s">
        <v>213</v>
      </c>
      <c r="G73" s="6" t="s">
        <v>33</v>
      </c>
      <c r="H73" s="8">
        <v>48.2</v>
      </c>
      <c r="I73" s="8">
        <v>50</v>
      </c>
      <c r="J73" s="9">
        <v>0.96399999999999997</v>
      </c>
      <c r="K73" s="10">
        <v>0.12075</v>
      </c>
      <c r="L73" s="10">
        <v>2.0398009950248799</v>
      </c>
      <c r="M73" s="10">
        <v>-7.22021660649817E-3</v>
      </c>
      <c r="N73" s="11">
        <v>0.6</v>
      </c>
      <c r="O73" s="11">
        <v>0.6</v>
      </c>
      <c r="P73" s="10">
        <v>0.34</v>
      </c>
      <c r="Q73" s="12">
        <v>75.421419655841802</v>
      </c>
    </row>
    <row r="74" spans="1:17" ht="30" x14ac:dyDescent="0.2">
      <c r="A74" s="6">
        <v>62</v>
      </c>
      <c r="B74" s="7" t="s">
        <v>214</v>
      </c>
      <c r="C74" s="6" t="s">
        <v>215</v>
      </c>
      <c r="D74" s="6" t="s">
        <v>27</v>
      </c>
      <c r="E74" s="6">
        <v>1998</v>
      </c>
      <c r="F74" s="7" t="s">
        <v>216</v>
      </c>
      <c r="G74" s="6" t="s">
        <v>29</v>
      </c>
      <c r="H74" s="8">
        <v>560.20000000000005</v>
      </c>
      <c r="I74" s="8">
        <v>948.8</v>
      </c>
      <c r="J74" s="9">
        <v>0.59043001686340701</v>
      </c>
      <c r="K74" s="10">
        <v>7.1089797639123098E-2</v>
      </c>
      <c r="L74" s="10">
        <v>1.3474084450670401</v>
      </c>
      <c r="M74" s="10">
        <v>-0.120481927710843</v>
      </c>
      <c r="N74" s="11">
        <v>0.9</v>
      </c>
      <c r="O74" s="11">
        <v>0.6</v>
      </c>
      <c r="P74" s="10">
        <v>0.2</v>
      </c>
      <c r="Q74" s="12">
        <v>75.3762052721153</v>
      </c>
    </row>
    <row r="75" spans="1:17" ht="30" x14ac:dyDescent="0.2">
      <c r="A75" s="6">
        <v>63</v>
      </c>
      <c r="B75" s="7" t="s">
        <v>217</v>
      </c>
      <c r="C75" s="6" t="s">
        <v>218</v>
      </c>
      <c r="D75" s="6" t="s">
        <v>27</v>
      </c>
      <c r="E75" s="6">
        <v>1946</v>
      </c>
      <c r="F75" s="7" t="s">
        <v>219</v>
      </c>
      <c r="G75" s="6" t="s">
        <v>38</v>
      </c>
      <c r="H75" s="8">
        <v>353.9</v>
      </c>
      <c r="I75" s="8">
        <v>116.3</v>
      </c>
      <c r="J75" s="9">
        <v>3.0429922613929499</v>
      </c>
      <c r="K75" s="10">
        <v>1.9153052450558899E-2</v>
      </c>
      <c r="L75" s="10">
        <v>0.17951668584579999</v>
      </c>
      <c r="M75" s="10">
        <v>-0.43537414965986398</v>
      </c>
      <c r="N75" s="11">
        <v>0.8</v>
      </c>
      <c r="O75" s="11">
        <v>0.77777777777777801</v>
      </c>
      <c r="P75" s="10">
        <v>0.38100000000000001</v>
      </c>
      <c r="Q75" s="12">
        <v>75.193865121554694</v>
      </c>
    </row>
    <row r="76" spans="1:17" ht="30" x14ac:dyDescent="0.2">
      <c r="A76" s="6">
        <v>64</v>
      </c>
      <c r="B76" s="7" t="s">
        <v>220</v>
      </c>
      <c r="C76" s="6" t="s">
        <v>221</v>
      </c>
      <c r="D76" s="6" t="s">
        <v>27</v>
      </c>
      <c r="E76" s="6">
        <v>1956</v>
      </c>
      <c r="F76" s="7" t="s">
        <v>222</v>
      </c>
      <c r="G76" s="6" t="s">
        <v>29</v>
      </c>
      <c r="H76" s="8">
        <v>1086</v>
      </c>
      <c r="I76" s="8">
        <v>1789.1</v>
      </c>
      <c r="J76" s="9">
        <v>0.60700911072606301</v>
      </c>
      <c r="K76" s="10">
        <v>4.2493432452070899E-2</v>
      </c>
      <c r="L76" s="10">
        <v>0.23910492792490801</v>
      </c>
      <c r="M76" s="10">
        <v>-6.11814345991561E-2</v>
      </c>
      <c r="N76" s="11">
        <v>0.9</v>
      </c>
      <c r="O76" s="11">
        <v>0.88888888888888895</v>
      </c>
      <c r="P76" s="10">
        <v>0.39410000000000001</v>
      </c>
      <c r="Q76" s="12">
        <v>75.120870099934905</v>
      </c>
    </row>
    <row r="77" spans="1:17" ht="30" x14ac:dyDescent="0.2">
      <c r="A77" s="6">
        <v>65</v>
      </c>
      <c r="B77" s="7" t="s">
        <v>223</v>
      </c>
      <c r="C77" s="6" t="s">
        <v>224</v>
      </c>
      <c r="D77" s="6" t="s">
        <v>27</v>
      </c>
      <c r="E77" s="6"/>
      <c r="F77" s="7" t="s">
        <v>225</v>
      </c>
      <c r="G77" s="6" t="s">
        <v>29</v>
      </c>
      <c r="H77" s="8">
        <v>167.6</v>
      </c>
      <c r="I77" s="8">
        <v>263.10000000000002</v>
      </c>
      <c r="J77" s="9">
        <v>0.63702014443177502</v>
      </c>
      <c r="K77" s="10">
        <v>9.2132269099201802E-2</v>
      </c>
      <c r="L77" s="10">
        <v>1.09286775631501</v>
      </c>
      <c r="M77" s="10">
        <v>-0.12745098039215699</v>
      </c>
      <c r="N77" s="11">
        <v>0.9</v>
      </c>
      <c r="O77" s="11">
        <v>1</v>
      </c>
      <c r="P77" s="10">
        <v>0</v>
      </c>
      <c r="Q77" s="12">
        <v>75.102339058620998</v>
      </c>
    </row>
    <row r="78" spans="1:17" ht="45" x14ac:dyDescent="0.2">
      <c r="A78" s="6">
        <v>66</v>
      </c>
      <c r="B78" s="7" t="s">
        <v>226</v>
      </c>
      <c r="C78" s="6" t="s">
        <v>227</v>
      </c>
      <c r="D78" s="6" t="s">
        <v>27</v>
      </c>
      <c r="E78" s="6"/>
      <c r="F78" s="7" t="s">
        <v>228</v>
      </c>
      <c r="G78" s="6" t="s">
        <v>54</v>
      </c>
      <c r="H78" s="8">
        <v>305.60000000000002</v>
      </c>
      <c r="I78" s="8">
        <v>927.4</v>
      </c>
      <c r="J78" s="9">
        <v>0.32952339874919101</v>
      </c>
      <c r="K78" s="10">
        <v>-2.4153547552296699E-2</v>
      </c>
      <c r="L78" s="10">
        <v>1.0655441972339199</v>
      </c>
      <c r="M78" s="10">
        <v>0.120481927710843</v>
      </c>
      <c r="N78" s="11">
        <v>0.5</v>
      </c>
      <c r="O78" s="11">
        <v>1</v>
      </c>
      <c r="P78" s="10">
        <v>0.47</v>
      </c>
      <c r="Q78" s="12">
        <v>75.068222650543603</v>
      </c>
    </row>
    <row r="79" spans="1:17" ht="30" x14ac:dyDescent="0.2">
      <c r="A79" s="6">
        <v>67</v>
      </c>
      <c r="B79" s="7" t="s">
        <v>229</v>
      </c>
      <c r="C79" s="6" t="s">
        <v>230</v>
      </c>
      <c r="D79" s="6" t="s">
        <v>36</v>
      </c>
      <c r="E79" s="6">
        <v>1988</v>
      </c>
      <c r="F79" s="7" t="s">
        <v>231</v>
      </c>
      <c r="G79" s="6" t="s">
        <v>54</v>
      </c>
      <c r="H79" s="8">
        <v>229.2</v>
      </c>
      <c r="I79" s="8">
        <v>156.6</v>
      </c>
      <c r="J79" s="9">
        <v>1.4636015325670499</v>
      </c>
      <c r="K79" s="10">
        <v>4.2049808429118797E-2</v>
      </c>
      <c r="L79" s="10">
        <v>1.9677419354838701</v>
      </c>
      <c r="M79" s="10">
        <v>8.48214285714287E-2</v>
      </c>
      <c r="N79" s="11">
        <v>0.7</v>
      </c>
      <c r="O79" s="11">
        <v>0.9</v>
      </c>
      <c r="P79" s="10">
        <v>0.41899999999999998</v>
      </c>
      <c r="Q79" s="12">
        <v>74.962500726168898</v>
      </c>
    </row>
    <row r="80" spans="1:17" ht="45" x14ac:dyDescent="0.2">
      <c r="A80" s="6">
        <v>68</v>
      </c>
      <c r="B80" s="7" t="s">
        <v>232</v>
      </c>
      <c r="C80" s="6" t="s">
        <v>233</v>
      </c>
      <c r="D80" s="6" t="s">
        <v>27</v>
      </c>
      <c r="E80" s="6">
        <v>1951</v>
      </c>
      <c r="F80" s="7" t="s">
        <v>234</v>
      </c>
      <c r="G80" s="6" t="s">
        <v>29</v>
      </c>
      <c r="H80" s="8">
        <v>575.6</v>
      </c>
      <c r="I80" s="8">
        <v>916</v>
      </c>
      <c r="J80" s="9">
        <v>0.62838427947598297</v>
      </c>
      <c r="K80" s="10">
        <v>8.6217248908296906E-2</v>
      </c>
      <c r="L80" s="10">
        <v>0.50375345713156905</v>
      </c>
      <c r="M80" s="10">
        <v>-0.109756097560976</v>
      </c>
      <c r="N80" s="11">
        <v>0.9</v>
      </c>
      <c r="O80" s="11">
        <v>1</v>
      </c>
      <c r="P80" s="10">
        <v>0.2</v>
      </c>
      <c r="Q80" s="12">
        <v>74.786722498215994</v>
      </c>
    </row>
    <row r="81" spans="1:17" ht="30" x14ac:dyDescent="0.2">
      <c r="A81" s="6">
        <v>69</v>
      </c>
      <c r="B81" s="7" t="s">
        <v>235</v>
      </c>
      <c r="C81" s="6" t="s">
        <v>236</v>
      </c>
      <c r="D81" s="6" t="s">
        <v>36</v>
      </c>
      <c r="E81" s="6"/>
      <c r="F81" s="7" t="s">
        <v>237</v>
      </c>
      <c r="G81" s="6" t="s">
        <v>38</v>
      </c>
      <c r="H81" s="8">
        <v>725</v>
      </c>
      <c r="I81" s="8">
        <v>344.3</v>
      </c>
      <c r="J81" s="9">
        <v>2.1057217542840601</v>
      </c>
      <c r="K81" s="10">
        <v>0.200842288701714</v>
      </c>
      <c r="L81" s="10">
        <v>1.5611390284757101</v>
      </c>
      <c r="M81" s="10">
        <v>-6.87203791469196E-2</v>
      </c>
      <c r="N81" s="11">
        <v>0.9</v>
      </c>
      <c r="O81" s="11">
        <v>1</v>
      </c>
      <c r="P81" s="10">
        <v>0</v>
      </c>
      <c r="Q81" s="12">
        <v>74.580869910369501</v>
      </c>
    </row>
    <row r="82" spans="1:17" ht="45" x14ac:dyDescent="0.2">
      <c r="A82" s="6">
        <v>70</v>
      </c>
      <c r="B82" s="7" t="s">
        <v>238</v>
      </c>
      <c r="C82" s="6" t="s">
        <v>239</v>
      </c>
      <c r="D82" s="6" t="s">
        <v>27</v>
      </c>
      <c r="E82" s="6">
        <v>1970</v>
      </c>
      <c r="F82" s="7" t="s">
        <v>240</v>
      </c>
      <c r="G82" s="6" t="s">
        <v>38</v>
      </c>
      <c r="H82" s="8">
        <v>459.5</v>
      </c>
      <c r="I82" s="8">
        <v>418.4</v>
      </c>
      <c r="J82" s="9">
        <v>1.0982313575525799</v>
      </c>
      <c r="K82" s="10">
        <v>-6.5726577437858497E-3</v>
      </c>
      <c r="L82" s="10">
        <v>0.41497060153776599</v>
      </c>
      <c r="M82" s="10">
        <v>4.5685279187817403E-2</v>
      </c>
      <c r="N82" s="11">
        <v>0.8</v>
      </c>
      <c r="O82" s="11">
        <v>0.9</v>
      </c>
      <c r="P82" s="10">
        <v>0.34799999999999998</v>
      </c>
      <c r="Q82" s="12">
        <v>74.438676726318405</v>
      </c>
    </row>
    <row r="83" spans="1:17" ht="45" x14ac:dyDescent="0.2">
      <c r="A83" s="6">
        <v>71</v>
      </c>
      <c r="B83" s="7" t="s">
        <v>241</v>
      </c>
      <c r="C83" s="6" t="s">
        <v>242</v>
      </c>
      <c r="D83" s="6" t="s">
        <v>27</v>
      </c>
      <c r="E83" s="6">
        <v>1927</v>
      </c>
      <c r="F83" s="7" t="s">
        <v>243</v>
      </c>
      <c r="G83" s="6" t="s">
        <v>38</v>
      </c>
      <c r="H83" s="8">
        <v>235.1</v>
      </c>
      <c r="I83" s="8">
        <v>173.2</v>
      </c>
      <c r="J83" s="9">
        <v>1.35739030023095</v>
      </c>
      <c r="K83" s="10">
        <v>7.8709584295612006E-2</v>
      </c>
      <c r="L83" s="10">
        <v>0.39895165987186998</v>
      </c>
      <c r="M83" s="10">
        <v>-2.7972027972028E-2</v>
      </c>
      <c r="N83" s="11">
        <v>1</v>
      </c>
      <c r="O83" s="11">
        <v>1</v>
      </c>
      <c r="P83" s="10">
        <v>0.36499999999999999</v>
      </c>
      <c r="Q83" s="12">
        <v>74.305029775562502</v>
      </c>
    </row>
    <row r="84" spans="1:17" ht="30" x14ac:dyDescent="0.2">
      <c r="A84" s="6">
        <v>72</v>
      </c>
      <c r="B84" s="7" t="s">
        <v>244</v>
      </c>
      <c r="C84" s="6" t="s">
        <v>245</v>
      </c>
      <c r="D84" s="6" t="s">
        <v>27</v>
      </c>
      <c r="E84" s="6"/>
      <c r="F84" s="7" t="s">
        <v>246</v>
      </c>
      <c r="G84" s="6" t="s">
        <v>29</v>
      </c>
      <c r="H84" s="8">
        <v>545.5</v>
      </c>
      <c r="I84" s="8">
        <v>815.2</v>
      </c>
      <c r="J84" s="9">
        <v>0.66916094210009802</v>
      </c>
      <c r="K84" s="10">
        <v>9.8104759568204095E-2</v>
      </c>
      <c r="L84" s="10">
        <v>0.27754930759546798</v>
      </c>
      <c r="M84" s="10">
        <v>-0.104918032786885</v>
      </c>
      <c r="N84" s="11">
        <v>1</v>
      </c>
      <c r="O84" s="11">
        <v>1</v>
      </c>
      <c r="P84" s="10">
        <v>0.13400000000000001</v>
      </c>
      <c r="Q84" s="12">
        <v>74.287444531324397</v>
      </c>
    </row>
    <row r="85" spans="1:17" ht="30" x14ac:dyDescent="0.2">
      <c r="A85" s="6">
        <v>73</v>
      </c>
      <c r="B85" s="7" t="s">
        <v>247</v>
      </c>
      <c r="C85" s="6" t="s">
        <v>248</v>
      </c>
      <c r="D85" s="6" t="s">
        <v>36</v>
      </c>
      <c r="E85" s="6">
        <v>1907</v>
      </c>
      <c r="F85" s="7" t="s">
        <v>249</v>
      </c>
      <c r="G85" s="6" t="s">
        <v>38</v>
      </c>
      <c r="H85" s="8">
        <v>370</v>
      </c>
      <c r="I85" s="8">
        <v>272.3</v>
      </c>
      <c r="J85" s="9">
        <v>1.3587954461990499</v>
      </c>
      <c r="K85" s="10">
        <v>8.0609621740727097E-2</v>
      </c>
      <c r="L85" s="10">
        <v>1.36893732970027</v>
      </c>
      <c r="M85" s="10">
        <v>0.16525423728813601</v>
      </c>
      <c r="N85" s="11">
        <v>1</v>
      </c>
      <c r="O85" s="11">
        <v>1</v>
      </c>
      <c r="P85" s="10">
        <v>0.17</v>
      </c>
      <c r="Q85" s="12">
        <v>74.258636200962997</v>
      </c>
    </row>
    <row r="86" spans="1:17" ht="30" x14ac:dyDescent="0.2">
      <c r="A86" s="6">
        <v>74</v>
      </c>
      <c r="B86" s="7" t="s">
        <v>250</v>
      </c>
      <c r="C86" s="6" t="s">
        <v>251</v>
      </c>
      <c r="D86" s="6" t="s">
        <v>27</v>
      </c>
      <c r="E86" s="6">
        <v>1981</v>
      </c>
      <c r="F86" s="7" t="s">
        <v>252</v>
      </c>
      <c r="G86" s="6" t="s">
        <v>33</v>
      </c>
      <c r="H86" s="8">
        <v>291.2</v>
      </c>
      <c r="I86" s="8">
        <v>84</v>
      </c>
      <c r="J86" s="9">
        <v>3.4666666666666699</v>
      </c>
      <c r="K86" s="10">
        <v>0.229761904761905</v>
      </c>
      <c r="L86" s="10">
        <v>4.4633368756641902E-2</v>
      </c>
      <c r="M86" s="10">
        <v>0</v>
      </c>
      <c r="N86" s="11">
        <v>1</v>
      </c>
      <c r="O86" s="11">
        <v>1</v>
      </c>
      <c r="P86" s="10">
        <v>0.47399999999999998</v>
      </c>
      <c r="Q86" s="12">
        <v>74.046285531929399</v>
      </c>
    </row>
    <row r="87" spans="1:17" ht="30" x14ac:dyDescent="0.2">
      <c r="A87" s="6">
        <v>75</v>
      </c>
      <c r="B87" s="7" t="s">
        <v>253</v>
      </c>
      <c r="C87" s="6" t="s">
        <v>254</v>
      </c>
      <c r="D87" s="6" t="s">
        <v>27</v>
      </c>
      <c r="E87" s="6">
        <v>1993</v>
      </c>
      <c r="F87" s="7" t="s">
        <v>255</v>
      </c>
      <c r="G87" s="6" t="s">
        <v>38</v>
      </c>
      <c r="H87" s="8">
        <v>286.8</v>
      </c>
      <c r="I87" s="8">
        <v>138.6</v>
      </c>
      <c r="J87" s="9">
        <v>2.06926406926407</v>
      </c>
      <c r="K87" s="10">
        <v>0.143578643578644</v>
      </c>
      <c r="L87" s="10">
        <v>0.453627180899908</v>
      </c>
      <c r="M87" s="10">
        <v>-8.0645161290322301E-3</v>
      </c>
      <c r="N87" s="11">
        <v>1</v>
      </c>
      <c r="O87" s="11">
        <v>1</v>
      </c>
      <c r="P87" s="10">
        <v>0.29299999999999998</v>
      </c>
      <c r="Q87" s="12">
        <v>73.894374757212205</v>
      </c>
    </row>
    <row r="88" spans="1:17" ht="45" x14ac:dyDescent="0.2">
      <c r="A88" s="6">
        <v>76</v>
      </c>
      <c r="B88" s="7" t="s">
        <v>256</v>
      </c>
      <c r="C88" s="6" t="s">
        <v>257</v>
      </c>
      <c r="D88" s="6" t="s">
        <v>27</v>
      </c>
      <c r="E88" s="6">
        <v>1997</v>
      </c>
      <c r="F88" s="7" t="s">
        <v>258</v>
      </c>
      <c r="G88" s="6" t="s">
        <v>33</v>
      </c>
      <c r="H88" s="8">
        <v>488.6</v>
      </c>
      <c r="I88" s="8">
        <v>155</v>
      </c>
      <c r="J88" s="9">
        <v>3.15225806451613</v>
      </c>
      <c r="K88" s="10">
        <v>0.33032258064516101</v>
      </c>
      <c r="L88" s="10">
        <v>0.47207557654904098</v>
      </c>
      <c r="M88" s="10">
        <v>-0.16560509554140099</v>
      </c>
      <c r="N88" s="11">
        <v>0.7</v>
      </c>
      <c r="O88" s="11">
        <v>0.88888888888888895</v>
      </c>
      <c r="P88" s="10">
        <v>0.39</v>
      </c>
      <c r="Q88" s="12">
        <v>73.821974161774094</v>
      </c>
    </row>
    <row r="89" spans="1:17" ht="30" x14ac:dyDescent="0.2">
      <c r="A89" s="6">
        <v>77</v>
      </c>
      <c r="B89" s="7" t="s">
        <v>259</v>
      </c>
      <c r="C89" s="6" t="s">
        <v>260</v>
      </c>
      <c r="D89" s="6" t="s">
        <v>36</v>
      </c>
      <c r="E89" s="6">
        <v>1899</v>
      </c>
      <c r="F89" s="7" t="s">
        <v>261</v>
      </c>
      <c r="G89" s="6" t="s">
        <v>29</v>
      </c>
      <c r="H89" s="8">
        <v>325.2</v>
      </c>
      <c r="I89" s="8">
        <v>409</v>
      </c>
      <c r="J89" s="9">
        <v>0.79511002444987799</v>
      </c>
      <c r="K89" s="10">
        <v>0.1119804400978</v>
      </c>
      <c r="L89" s="10">
        <v>7.5287958115183296E-2</v>
      </c>
      <c r="M89" s="10">
        <v>-4.1666666666666699E-2</v>
      </c>
      <c r="N89" s="11">
        <v>1</v>
      </c>
      <c r="O89" s="11">
        <v>0.8</v>
      </c>
      <c r="P89" s="10">
        <v>0.19333457202698201</v>
      </c>
      <c r="Q89" s="12">
        <v>73.747766001777094</v>
      </c>
    </row>
    <row r="90" spans="1:17" ht="30" x14ac:dyDescent="0.2">
      <c r="A90" s="6">
        <v>78</v>
      </c>
      <c r="B90" s="7" t="s">
        <v>262</v>
      </c>
      <c r="C90" s="6" t="s">
        <v>263</v>
      </c>
      <c r="D90" s="6" t="s">
        <v>27</v>
      </c>
      <c r="E90" s="6">
        <v>1924</v>
      </c>
      <c r="F90" s="7" t="s">
        <v>264</v>
      </c>
      <c r="G90" s="6" t="s">
        <v>29</v>
      </c>
      <c r="H90" s="8">
        <v>284.3</v>
      </c>
      <c r="I90" s="8">
        <v>567</v>
      </c>
      <c r="J90" s="9">
        <v>0.50141093474426801</v>
      </c>
      <c r="K90" s="10">
        <v>2.18253968253968E-2</v>
      </c>
      <c r="L90" s="10">
        <v>0.20551266825019801</v>
      </c>
      <c r="M90" s="10">
        <v>-0.475247524752475</v>
      </c>
      <c r="N90" s="11">
        <v>0.5</v>
      </c>
      <c r="O90" s="11">
        <v>0.88888888888888895</v>
      </c>
      <c r="P90" s="10">
        <v>0.41299999999999998</v>
      </c>
      <c r="Q90" s="12">
        <v>73.741668146918201</v>
      </c>
    </row>
    <row r="91" spans="1:17" ht="30" x14ac:dyDescent="0.2">
      <c r="A91" s="6">
        <v>79</v>
      </c>
      <c r="B91" s="7" t="s">
        <v>265</v>
      </c>
      <c r="C91" s="6" t="s">
        <v>266</v>
      </c>
      <c r="D91" s="6" t="s">
        <v>36</v>
      </c>
      <c r="E91" s="6">
        <v>1998</v>
      </c>
      <c r="F91" s="7" t="s">
        <v>267</v>
      </c>
      <c r="G91" s="6" t="s">
        <v>38</v>
      </c>
      <c r="H91" s="8">
        <v>70.099999999999994</v>
      </c>
      <c r="I91" s="8">
        <v>41.4</v>
      </c>
      <c r="J91" s="9">
        <v>1.69323671497585</v>
      </c>
      <c r="K91" s="10">
        <v>8.2971014492753598E-2</v>
      </c>
      <c r="L91" s="10">
        <v>1.42767295597484</v>
      </c>
      <c r="M91" s="10">
        <v>0.107438016528926</v>
      </c>
      <c r="N91" s="11">
        <v>1</v>
      </c>
      <c r="O91" s="11">
        <v>0.8</v>
      </c>
      <c r="P91" s="10">
        <v>0.36</v>
      </c>
      <c r="Q91" s="12">
        <v>73.738617997326898</v>
      </c>
    </row>
    <row r="92" spans="1:17" ht="30" x14ac:dyDescent="0.2">
      <c r="A92" s="6">
        <v>80</v>
      </c>
      <c r="B92" s="7" t="s">
        <v>268</v>
      </c>
      <c r="C92" s="6" t="s">
        <v>269</v>
      </c>
      <c r="D92" s="6" t="s">
        <v>36</v>
      </c>
      <c r="E92" s="6">
        <v>1999</v>
      </c>
      <c r="F92" s="7" t="s">
        <v>270</v>
      </c>
      <c r="G92" s="6" t="s">
        <v>29</v>
      </c>
      <c r="H92" s="8">
        <v>160.19999999999999</v>
      </c>
      <c r="I92" s="8">
        <v>380.7</v>
      </c>
      <c r="J92" s="9">
        <v>0.42080378250591</v>
      </c>
      <c r="K92" s="10">
        <v>5.7125032834252701E-2</v>
      </c>
      <c r="L92" s="10">
        <v>0.32439228834870099</v>
      </c>
      <c r="M92" s="10">
        <v>9.9099099099099197E-2</v>
      </c>
      <c r="N92" s="11">
        <v>0.7</v>
      </c>
      <c r="O92" s="11">
        <v>1</v>
      </c>
      <c r="P92" s="10">
        <v>0.36</v>
      </c>
      <c r="Q92" s="12">
        <v>73.732653705894293</v>
      </c>
    </row>
    <row r="93" spans="1:17" ht="30" x14ac:dyDescent="0.2">
      <c r="A93" s="6">
        <v>81</v>
      </c>
      <c r="B93" s="7" t="s">
        <v>271</v>
      </c>
      <c r="C93" s="6" t="s">
        <v>272</v>
      </c>
      <c r="D93" s="6" t="s">
        <v>36</v>
      </c>
      <c r="E93" s="6">
        <v>1996</v>
      </c>
      <c r="F93" s="7" t="s">
        <v>273</v>
      </c>
      <c r="G93" s="6" t="s">
        <v>38</v>
      </c>
      <c r="H93" s="8">
        <v>173.1</v>
      </c>
      <c r="I93" s="8">
        <v>99.2</v>
      </c>
      <c r="J93" s="9">
        <v>1.7449596774193601</v>
      </c>
      <c r="K93" s="10">
        <v>0.15625</v>
      </c>
      <c r="L93" s="10">
        <v>2.6736493936052899</v>
      </c>
      <c r="M93" s="10">
        <v>8.0939947780678895E-2</v>
      </c>
      <c r="N93" s="11">
        <v>1</v>
      </c>
      <c r="O93" s="11">
        <v>0.9</v>
      </c>
      <c r="P93" s="10">
        <v>0</v>
      </c>
      <c r="Q93" s="12">
        <v>73.599483380370401</v>
      </c>
    </row>
    <row r="94" spans="1:17" ht="45" x14ac:dyDescent="0.2">
      <c r="A94" s="6">
        <v>82</v>
      </c>
      <c r="B94" s="7" t="s">
        <v>274</v>
      </c>
      <c r="C94" s="6" t="s">
        <v>275</v>
      </c>
      <c r="D94" s="6" t="s">
        <v>27</v>
      </c>
      <c r="E94" s="6">
        <v>2002</v>
      </c>
      <c r="F94" s="7" t="s">
        <v>276</v>
      </c>
      <c r="G94" s="6" t="s">
        <v>54</v>
      </c>
      <c r="H94" s="8">
        <v>1017.2</v>
      </c>
      <c r="I94" s="8">
        <v>294.8</v>
      </c>
      <c r="J94" s="9">
        <v>3.4504748982360902</v>
      </c>
      <c r="K94" s="10">
        <v>-9.7184531886024397E-2</v>
      </c>
      <c r="L94" s="10">
        <v>1.0725007984669399</v>
      </c>
      <c r="M94" s="10">
        <v>0.15432098765432101</v>
      </c>
      <c r="N94" s="11">
        <v>0.8</v>
      </c>
      <c r="O94" s="11">
        <v>1</v>
      </c>
      <c r="P94" s="10">
        <v>0.54279999999999995</v>
      </c>
      <c r="Q94" s="12">
        <v>73.300160680531903</v>
      </c>
    </row>
    <row r="95" spans="1:17" ht="30" x14ac:dyDescent="0.2">
      <c r="A95" s="6">
        <v>83</v>
      </c>
      <c r="B95" s="7" t="s">
        <v>277</v>
      </c>
      <c r="C95" s="6" t="s">
        <v>278</v>
      </c>
      <c r="D95" s="6" t="s">
        <v>27</v>
      </c>
      <c r="E95" s="6"/>
      <c r="F95" s="7" t="s">
        <v>279</v>
      </c>
      <c r="G95" s="6" t="s">
        <v>38</v>
      </c>
      <c r="H95" s="8">
        <v>494.1</v>
      </c>
      <c r="I95" s="8">
        <v>420.6</v>
      </c>
      <c r="J95" s="9">
        <v>1.1747503566333799</v>
      </c>
      <c r="K95" s="10">
        <v>9.8133618640038001E-2</v>
      </c>
      <c r="L95" s="10">
        <v>0.31475628015305301</v>
      </c>
      <c r="M95" s="10">
        <v>1.7543859649122698E-2</v>
      </c>
      <c r="N95" s="11">
        <v>1</v>
      </c>
      <c r="O95" s="11">
        <v>0.9</v>
      </c>
      <c r="P95" s="10">
        <v>0.1701</v>
      </c>
      <c r="Q95" s="12">
        <v>73.296615723480798</v>
      </c>
    </row>
    <row r="96" spans="1:17" ht="30" x14ac:dyDescent="0.2">
      <c r="A96" s="6">
        <v>84</v>
      </c>
      <c r="B96" s="7" t="s">
        <v>280</v>
      </c>
      <c r="C96" s="6" t="s">
        <v>281</v>
      </c>
      <c r="D96" s="6" t="s">
        <v>27</v>
      </c>
      <c r="E96" s="6">
        <v>1985</v>
      </c>
      <c r="F96" s="7" t="s">
        <v>282</v>
      </c>
      <c r="G96" s="6" t="s">
        <v>38</v>
      </c>
      <c r="H96" s="8">
        <v>721.8</v>
      </c>
      <c r="I96" s="8">
        <v>642.1</v>
      </c>
      <c r="J96" s="9">
        <v>1.1241239682292501</v>
      </c>
      <c r="K96" s="10">
        <v>0.16045008565644001</v>
      </c>
      <c r="L96" s="10">
        <v>0.43539060035748101</v>
      </c>
      <c r="M96" s="10">
        <v>-0.21906693711967501</v>
      </c>
      <c r="N96" s="11">
        <v>0.8</v>
      </c>
      <c r="O96" s="11">
        <v>1</v>
      </c>
      <c r="P96" s="10">
        <v>0.2676</v>
      </c>
      <c r="Q96" s="12">
        <v>73.259115946816706</v>
      </c>
    </row>
    <row r="97" spans="1:17" ht="30" x14ac:dyDescent="0.2">
      <c r="A97" s="6">
        <v>85</v>
      </c>
      <c r="B97" s="7" t="s">
        <v>283</v>
      </c>
      <c r="C97" s="6" t="s">
        <v>284</v>
      </c>
      <c r="D97" s="6" t="s">
        <v>27</v>
      </c>
      <c r="E97" s="6">
        <v>1965</v>
      </c>
      <c r="F97" s="7" t="s">
        <v>285</v>
      </c>
      <c r="G97" s="6" t="s">
        <v>33</v>
      </c>
      <c r="H97" s="8">
        <v>246</v>
      </c>
      <c r="I97" s="8">
        <v>65.099999999999994</v>
      </c>
      <c r="J97" s="9">
        <v>3.7788018433179702</v>
      </c>
      <c r="K97" s="10">
        <v>0.18279569892473099</v>
      </c>
      <c r="L97" s="10">
        <v>0.93881856540084396</v>
      </c>
      <c r="M97" s="10">
        <v>4.4374009508716401E-2</v>
      </c>
      <c r="N97" s="11">
        <v>0.9</v>
      </c>
      <c r="O97" s="11">
        <v>1</v>
      </c>
      <c r="P97" s="10">
        <v>0.3</v>
      </c>
      <c r="Q97" s="12">
        <v>73.258739049388794</v>
      </c>
    </row>
    <row r="98" spans="1:17" ht="30" x14ac:dyDescent="0.2">
      <c r="A98" s="6">
        <v>86</v>
      </c>
      <c r="B98" s="7" t="s">
        <v>286</v>
      </c>
      <c r="C98" s="6" t="s">
        <v>287</v>
      </c>
      <c r="D98" s="6" t="s">
        <v>27</v>
      </c>
      <c r="E98" s="6"/>
      <c r="F98" s="7" t="s">
        <v>288</v>
      </c>
      <c r="G98" s="6" t="s">
        <v>38</v>
      </c>
      <c r="H98" s="8">
        <v>108.9</v>
      </c>
      <c r="I98" s="8">
        <v>54.7</v>
      </c>
      <c r="J98" s="9">
        <v>1.9908592321755001</v>
      </c>
      <c r="K98" s="10">
        <v>0.12838208409506399</v>
      </c>
      <c r="L98" s="10">
        <v>3.8906560636182901</v>
      </c>
      <c r="M98" s="10">
        <v>1.11731843575419E-2</v>
      </c>
      <c r="N98" s="11">
        <v>1</v>
      </c>
      <c r="O98" s="11">
        <v>1</v>
      </c>
      <c r="P98" s="10">
        <v>0</v>
      </c>
      <c r="Q98" s="12">
        <v>73.228318584070806</v>
      </c>
    </row>
    <row r="99" spans="1:17" ht="45" x14ac:dyDescent="0.2">
      <c r="A99" s="6">
        <v>87</v>
      </c>
      <c r="B99" s="7" t="s">
        <v>289</v>
      </c>
      <c r="C99" s="6" t="s">
        <v>290</v>
      </c>
      <c r="D99" s="6" t="s">
        <v>27</v>
      </c>
      <c r="E99" s="6">
        <v>1980</v>
      </c>
      <c r="F99" s="7" t="s">
        <v>291</v>
      </c>
      <c r="G99" s="6" t="s">
        <v>29</v>
      </c>
      <c r="H99" s="8">
        <v>373.8</v>
      </c>
      <c r="I99" s="8">
        <v>614.1</v>
      </c>
      <c r="J99" s="9">
        <v>0.60869565217391297</v>
      </c>
      <c r="K99" s="10">
        <v>7.4010747435271099E-2</v>
      </c>
      <c r="L99" s="10">
        <v>1.06775530099927</v>
      </c>
      <c r="M99" s="10">
        <v>7.0754716981132101E-2</v>
      </c>
      <c r="N99" s="11">
        <v>0.7</v>
      </c>
      <c r="O99" s="11">
        <v>0.8</v>
      </c>
      <c r="P99" s="10">
        <v>0.20399999999999999</v>
      </c>
      <c r="Q99" s="12">
        <v>73.068799549947997</v>
      </c>
    </row>
    <row r="100" spans="1:17" ht="30" x14ac:dyDescent="0.2">
      <c r="A100" s="6">
        <v>88</v>
      </c>
      <c r="B100" s="7" t="s">
        <v>292</v>
      </c>
      <c r="C100" s="6" t="s">
        <v>293</v>
      </c>
      <c r="D100" s="6" t="s">
        <v>27</v>
      </c>
      <c r="E100" s="6"/>
      <c r="F100" s="7" t="s">
        <v>294</v>
      </c>
      <c r="G100" s="6" t="s">
        <v>33</v>
      </c>
      <c r="H100" s="8">
        <v>243.7</v>
      </c>
      <c r="I100" s="8">
        <v>80.7</v>
      </c>
      <c r="J100" s="9">
        <v>3.0198265179677799</v>
      </c>
      <c r="K100" s="10">
        <v>0.13983890954151201</v>
      </c>
      <c r="L100" s="10">
        <v>0.42386185243328101</v>
      </c>
      <c r="M100" s="10">
        <v>3.3210332103321E-2</v>
      </c>
      <c r="N100" s="11">
        <v>0.7</v>
      </c>
      <c r="O100" s="11">
        <v>1</v>
      </c>
      <c r="P100" s="10">
        <v>0.73499999999999999</v>
      </c>
      <c r="Q100" s="12">
        <v>73.044830335293796</v>
      </c>
    </row>
    <row r="101" spans="1:17" ht="30" x14ac:dyDescent="0.2">
      <c r="A101" s="6">
        <v>89</v>
      </c>
      <c r="B101" s="7" t="s">
        <v>295</v>
      </c>
      <c r="C101" s="6" t="s">
        <v>296</v>
      </c>
      <c r="D101" s="6" t="s">
        <v>27</v>
      </c>
      <c r="E101" s="6">
        <v>1946</v>
      </c>
      <c r="F101" s="7" t="s">
        <v>297</v>
      </c>
      <c r="G101" s="6" t="s">
        <v>33</v>
      </c>
      <c r="H101" s="8">
        <v>955.2</v>
      </c>
      <c r="I101" s="8">
        <v>281.39999999999998</v>
      </c>
      <c r="J101" s="9">
        <v>3.3944562899786801</v>
      </c>
      <c r="K101" s="10">
        <v>0.14694385216773301</v>
      </c>
      <c r="L101" s="10">
        <v>0.57602690367523401</v>
      </c>
      <c r="M101" s="10">
        <v>4.8888888888889002E-2</v>
      </c>
      <c r="N101" s="11">
        <v>0.9</v>
      </c>
      <c r="O101" s="11">
        <v>1</v>
      </c>
      <c r="P101" s="10">
        <v>0.35</v>
      </c>
      <c r="Q101" s="12">
        <v>72.979074847910894</v>
      </c>
    </row>
    <row r="102" spans="1:17" ht="45" x14ac:dyDescent="0.2">
      <c r="A102" s="6">
        <v>90</v>
      </c>
      <c r="B102" s="7" t="s">
        <v>298</v>
      </c>
      <c r="C102" s="6" t="s">
        <v>299</v>
      </c>
      <c r="D102" s="6" t="s">
        <v>27</v>
      </c>
      <c r="E102" s="6">
        <v>1985</v>
      </c>
      <c r="F102" s="7" t="s">
        <v>300</v>
      </c>
      <c r="G102" s="6" t="s">
        <v>38</v>
      </c>
      <c r="H102" s="8">
        <v>542</v>
      </c>
      <c r="I102" s="8">
        <v>206.2</v>
      </c>
      <c r="J102" s="9">
        <v>2.6285160038797302</v>
      </c>
      <c r="K102" s="10">
        <v>0.11105722599418</v>
      </c>
      <c r="L102" s="10">
        <v>1.3356401384083101</v>
      </c>
      <c r="M102" s="10">
        <v>-2.3423423423423399E-2</v>
      </c>
      <c r="N102" s="11">
        <v>1</v>
      </c>
      <c r="O102" s="11">
        <v>1</v>
      </c>
      <c r="P102" s="10">
        <v>0.33333333329999998</v>
      </c>
      <c r="Q102" s="12">
        <v>72.742362452332699</v>
      </c>
    </row>
    <row r="103" spans="1:17" ht="30" x14ac:dyDescent="0.2">
      <c r="A103" s="6">
        <v>91</v>
      </c>
      <c r="B103" s="7" t="s">
        <v>301</v>
      </c>
      <c r="C103" s="6" t="s">
        <v>302</v>
      </c>
      <c r="D103" s="6" t="s">
        <v>27</v>
      </c>
      <c r="E103" s="6">
        <v>1982</v>
      </c>
      <c r="F103" s="7" t="s">
        <v>303</v>
      </c>
      <c r="G103" s="6" t="s">
        <v>38</v>
      </c>
      <c r="H103" s="8">
        <v>439.4</v>
      </c>
      <c r="I103" s="8">
        <v>145.80000000000001</v>
      </c>
      <c r="J103" s="9">
        <v>3.0137174211248299</v>
      </c>
      <c r="K103" s="10">
        <v>0.58127572016460904</v>
      </c>
      <c r="L103" s="10">
        <v>1.17468014857615</v>
      </c>
      <c r="M103" s="10">
        <v>-0.178240740740741</v>
      </c>
      <c r="N103" s="11">
        <v>0.9</v>
      </c>
      <c r="O103" s="11">
        <v>1</v>
      </c>
      <c r="P103" s="10">
        <v>0</v>
      </c>
      <c r="Q103" s="12">
        <v>72.658646933939806</v>
      </c>
    </row>
    <row r="104" spans="1:17" ht="30" x14ac:dyDescent="0.2">
      <c r="A104" s="6">
        <v>92</v>
      </c>
      <c r="B104" s="7" t="s">
        <v>304</v>
      </c>
      <c r="C104" s="6" t="s">
        <v>305</v>
      </c>
      <c r="D104" s="6" t="s">
        <v>27</v>
      </c>
      <c r="E104" s="6">
        <v>1909</v>
      </c>
      <c r="F104" s="7" t="s">
        <v>306</v>
      </c>
      <c r="G104" s="6" t="s">
        <v>38</v>
      </c>
      <c r="H104" s="8">
        <v>534.70000000000005</v>
      </c>
      <c r="I104" s="8">
        <v>302</v>
      </c>
      <c r="J104" s="9">
        <v>1.7705298013245001</v>
      </c>
      <c r="K104" s="10">
        <v>0.14114238410596</v>
      </c>
      <c r="L104" s="10">
        <v>7.5242047026279402E-2</v>
      </c>
      <c r="M104" s="10">
        <v>3.87596899224798E-3</v>
      </c>
      <c r="N104" s="11">
        <v>1</v>
      </c>
      <c r="O104" s="11">
        <v>1</v>
      </c>
      <c r="P104" s="10">
        <v>0.25</v>
      </c>
      <c r="Q104" s="12">
        <v>72.311147600128095</v>
      </c>
    </row>
    <row r="105" spans="1:17" ht="30" x14ac:dyDescent="0.2">
      <c r="A105" s="6">
        <v>93</v>
      </c>
      <c r="B105" s="7" t="s">
        <v>307</v>
      </c>
      <c r="C105" s="6" t="s">
        <v>308</v>
      </c>
      <c r="D105" s="6" t="s">
        <v>27</v>
      </c>
      <c r="E105" s="6">
        <v>1988</v>
      </c>
      <c r="F105" s="7" t="s">
        <v>309</v>
      </c>
      <c r="G105" s="6" t="s">
        <v>33</v>
      </c>
      <c r="H105" s="8">
        <v>518.1</v>
      </c>
      <c r="I105" s="8">
        <v>64.599999999999994</v>
      </c>
      <c r="J105" s="9">
        <v>8.0201238390092904</v>
      </c>
      <c r="K105" s="10">
        <v>0.143808049535604</v>
      </c>
      <c r="L105" s="10">
        <v>2.6330645161290298</v>
      </c>
      <c r="M105" s="10">
        <v>5.29411764705882E-2</v>
      </c>
      <c r="N105" s="11">
        <v>0.9</v>
      </c>
      <c r="O105" s="11">
        <v>0.9</v>
      </c>
      <c r="P105" s="10">
        <v>0.53</v>
      </c>
      <c r="Q105" s="12">
        <v>72.199046135179898</v>
      </c>
    </row>
    <row r="106" spans="1:17" ht="30" x14ac:dyDescent="0.2">
      <c r="A106" s="6">
        <v>94</v>
      </c>
      <c r="B106" s="7" t="s">
        <v>310</v>
      </c>
      <c r="C106" s="6" t="s">
        <v>311</v>
      </c>
      <c r="D106" s="6" t="s">
        <v>27</v>
      </c>
      <c r="E106" s="6">
        <v>1976</v>
      </c>
      <c r="F106" s="7" t="s">
        <v>312</v>
      </c>
      <c r="G106" s="6" t="s">
        <v>29</v>
      </c>
      <c r="H106" s="8">
        <v>64.3</v>
      </c>
      <c r="I106" s="8">
        <v>79.099999999999994</v>
      </c>
      <c r="J106" s="9">
        <v>0.812895069532238</v>
      </c>
      <c r="K106" s="10">
        <v>5.66687737041719E-2</v>
      </c>
      <c r="L106" s="10">
        <v>0.99235912129894899</v>
      </c>
      <c r="M106" s="10">
        <v>0</v>
      </c>
      <c r="N106" s="11">
        <v>1</v>
      </c>
      <c r="O106" s="11">
        <v>1</v>
      </c>
      <c r="P106" s="10">
        <v>0</v>
      </c>
      <c r="Q106" s="12">
        <v>72.145965351440495</v>
      </c>
    </row>
    <row r="107" spans="1:17" ht="30" x14ac:dyDescent="0.2">
      <c r="A107" s="6">
        <v>95</v>
      </c>
      <c r="B107" s="7" t="s">
        <v>313</v>
      </c>
      <c r="C107" s="6" t="s">
        <v>314</v>
      </c>
      <c r="D107" s="6" t="s">
        <v>36</v>
      </c>
      <c r="E107" s="6">
        <v>1994</v>
      </c>
      <c r="F107" s="7" t="s">
        <v>315</v>
      </c>
      <c r="G107" s="6" t="s">
        <v>29</v>
      </c>
      <c r="H107" s="8">
        <v>499.8</v>
      </c>
      <c r="I107" s="8">
        <v>1103.0999999999999</v>
      </c>
      <c r="J107" s="9">
        <v>0.45308675550720701</v>
      </c>
      <c r="K107" s="10">
        <v>6.0851237421811297E-2</v>
      </c>
      <c r="L107" s="10">
        <v>0.19032629298673201</v>
      </c>
      <c r="M107" s="10">
        <v>-0.15953757225433501</v>
      </c>
      <c r="N107" s="11">
        <v>0.8</v>
      </c>
      <c r="O107" s="11">
        <v>1</v>
      </c>
      <c r="P107" s="10">
        <v>0.12</v>
      </c>
      <c r="Q107" s="12">
        <v>71.966658365523301</v>
      </c>
    </row>
    <row r="108" spans="1:17" ht="30" x14ac:dyDescent="0.2">
      <c r="A108" s="6">
        <v>96</v>
      </c>
      <c r="B108" s="7" t="s">
        <v>316</v>
      </c>
      <c r="C108" s="6" t="s">
        <v>317</v>
      </c>
      <c r="D108" s="6" t="s">
        <v>27</v>
      </c>
      <c r="E108" s="6">
        <v>1986</v>
      </c>
      <c r="F108" s="7" t="s">
        <v>318</v>
      </c>
      <c r="G108" s="6" t="s">
        <v>38</v>
      </c>
      <c r="H108" s="8">
        <v>626.6</v>
      </c>
      <c r="I108" s="8">
        <v>404</v>
      </c>
      <c r="J108" s="9">
        <v>1.5509900990098999</v>
      </c>
      <c r="K108" s="10">
        <v>0.12811881188118801</v>
      </c>
      <c r="L108" s="10">
        <v>0.73624571343372602</v>
      </c>
      <c r="M108" s="10">
        <v>-0.26301369863013702</v>
      </c>
      <c r="N108" s="11">
        <v>0.9</v>
      </c>
      <c r="O108" s="11">
        <v>1</v>
      </c>
      <c r="P108" s="10">
        <v>0.121</v>
      </c>
      <c r="Q108" s="12">
        <v>71.838079496701894</v>
      </c>
    </row>
    <row r="109" spans="1:17" ht="45" x14ac:dyDescent="0.2">
      <c r="A109" s="6">
        <v>97</v>
      </c>
      <c r="B109" s="7" t="s">
        <v>319</v>
      </c>
      <c r="C109" s="6" t="s">
        <v>320</v>
      </c>
      <c r="D109" s="6" t="s">
        <v>27</v>
      </c>
      <c r="E109" s="6">
        <v>1946</v>
      </c>
      <c r="F109" s="7" t="s">
        <v>321</v>
      </c>
      <c r="G109" s="6" t="s">
        <v>38</v>
      </c>
      <c r="H109" s="8">
        <v>178.9</v>
      </c>
      <c r="I109" s="8">
        <v>693.3</v>
      </c>
      <c r="J109" s="9">
        <v>0.25804125198326799</v>
      </c>
      <c r="K109" s="10">
        <v>-4.6408481176979703E-2</v>
      </c>
      <c r="L109" s="10">
        <v>0.20840024706609001</v>
      </c>
      <c r="M109" s="10">
        <v>-5.6000000000000001E-2</v>
      </c>
      <c r="N109" s="11">
        <v>0.7</v>
      </c>
      <c r="O109" s="11">
        <v>1</v>
      </c>
      <c r="P109" s="10">
        <v>0.22869999999999999</v>
      </c>
      <c r="Q109" s="12">
        <v>71.7164248434444</v>
      </c>
    </row>
    <row r="110" spans="1:17" ht="30" x14ac:dyDescent="0.2">
      <c r="A110" s="6">
        <v>98</v>
      </c>
      <c r="B110" s="7" t="s">
        <v>322</v>
      </c>
      <c r="C110" s="6" t="s">
        <v>323</v>
      </c>
      <c r="D110" s="6" t="s">
        <v>36</v>
      </c>
      <c r="E110" s="6">
        <v>1990</v>
      </c>
      <c r="F110" s="7" t="s">
        <v>324</v>
      </c>
      <c r="G110" s="6" t="s">
        <v>38</v>
      </c>
      <c r="H110" s="8">
        <v>29.4</v>
      </c>
      <c r="I110" s="8">
        <v>7.38</v>
      </c>
      <c r="J110" s="9">
        <v>3.9837398373983701</v>
      </c>
      <c r="K110" s="10">
        <v>0.25691056910569099</v>
      </c>
      <c r="L110" s="10">
        <v>1.2636363636363599</v>
      </c>
      <c r="M110" s="10">
        <v>-0.540462427745665</v>
      </c>
      <c r="N110" s="11">
        <v>0.9</v>
      </c>
      <c r="O110" s="11">
        <v>1</v>
      </c>
      <c r="P110" s="10">
        <v>0.29299999999999998</v>
      </c>
      <c r="Q110" s="12">
        <v>71.553686996389601</v>
      </c>
    </row>
    <row r="111" spans="1:17" ht="45" x14ac:dyDescent="0.2">
      <c r="A111" s="6">
        <v>99</v>
      </c>
      <c r="B111" s="7" t="s">
        <v>325</v>
      </c>
      <c r="C111" s="6" t="s">
        <v>326</v>
      </c>
      <c r="D111" s="6" t="s">
        <v>36</v>
      </c>
      <c r="E111" s="6">
        <v>1993</v>
      </c>
      <c r="F111" s="7" t="s">
        <v>327</v>
      </c>
      <c r="G111" s="6" t="s">
        <v>38</v>
      </c>
      <c r="H111" s="8">
        <v>1137.3</v>
      </c>
      <c r="I111" s="8">
        <v>831.8</v>
      </c>
      <c r="J111" s="9">
        <v>1.3672757874489101</v>
      </c>
      <c r="K111" s="10">
        <v>0.109731906708343</v>
      </c>
      <c r="L111" s="10">
        <v>1.0193355826628601</v>
      </c>
      <c r="M111" s="10">
        <v>-2.9233870967742E-2</v>
      </c>
      <c r="N111" s="11">
        <v>0.9</v>
      </c>
      <c r="O111" s="11">
        <v>1</v>
      </c>
      <c r="P111" s="10">
        <v>0</v>
      </c>
      <c r="Q111" s="12">
        <v>71.248898117655699</v>
      </c>
    </row>
    <row r="112" spans="1:17" ht="30" x14ac:dyDescent="0.2">
      <c r="A112" s="6">
        <v>100</v>
      </c>
      <c r="B112" s="7" t="s">
        <v>328</v>
      </c>
      <c r="C112" s="6" t="s">
        <v>329</v>
      </c>
      <c r="D112" s="6" t="s">
        <v>27</v>
      </c>
      <c r="E112" s="6">
        <v>1961</v>
      </c>
      <c r="F112" s="7" t="s">
        <v>330</v>
      </c>
      <c r="G112" s="6" t="s">
        <v>38</v>
      </c>
      <c r="H112" s="8">
        <v>86.3</v>
      </c>
      <c r="I112" s="8">
        <v>56.9</v>
      </c>
      <c r="J112" s="9">
        <v>1.51669595782074</v>
      </c>
      <c r="K112" s="10">
        <v>0.113181019332162</v>
      </c>
      <c r="L112" s="10">
        <v>1.08928571428571</v>
      </c>
      <c r="M112" s="10">
        <v>-2.5793650793650799E-2</v>
      </c>
      <c r="N112" s="11">
        <v>1</v>
      </c>
      <c r="O112" s="11">
        <v>0.9</v>
      </c>
      <c r="P112" s="10">
        <v>0</v>
      </c>
      <c r="Q112" s="12">
        <v>71.236904553601505</v>
      </c>
    </row>
    <row r="113" spans="1:17" ht="30" x14ac:dyDescent="0.2">
      <c r="A113" s="6">
        <v>101</v>
      </c>
      <c r="B113" s="7" t="s">
        <v>331</v>
      </c>
      <c r="C113" s="6" t="s">
        <v>332</v>
      </c>
      <c r="D113" s="6" t="s">
        <v>36</v>
      </c>
      <c r="E113" s="6">
        <v>1964</v>
      </c>
      <c r="F113" s="7" t="s">
        <v>333</v>
      </c>
      <c r="G113" s="6" t="s">
        <v>38</v>
      </c>
      <c r="H113" s="8">
        <v>835.7</v>
      </c>
      <c r="I113" s="8">
        <v>1280</v>
      </c>
      <c r="J113" s="9">
        <v>0.65289062499999995</v>
      </c>
      <c r="K113" s="10">
        <v>-1.03515625E-2</v>
      </c>
      <c r="L113" s="10">
        <v>0.16940275959311099</v>
      </c>
      <c r="M113" s="10">
        <v>4.6439628482972103E-2</v>
      </c>
      <c r="N113" s="11">
        <v>0.7</v>
      </c>
      <c r="O113" s="11">
        <v>1</v>
      </c>
      <c r="P113" s="10">
        <v>0.21</v>
      </c>
      <c r="Q113" s="12">
        <v>71.171261720153396</v>
      </c>
    </row>
    <row r="114" spans="1:17" ht="45" x14ac:dyDescent="0.2">
      <c r="A114" s="6">
        <v>102</v>
      </c>
      <c r="B114" s="7" t="s">
        <v>334</v>
      </c>
      <c r="C114" s="6" t="s">
        <v>335</v>
      </c>
      <c r="D114" s="6" t="s">
        <v>36</v>
      </c>
      <c r="E114" s="6">
        <v>1957</v>
      </c>
      <c r="F114" s="7" t="s">
        <v>336</v>
      </c>
      <c r="G114" s="6" t="s">
        <v>29</v>
      </c>
      <c r="H114" s="8">
        <v>497.2</v>
      </c>
      <c r="I114" s="8">
        <v>2615.6</v>
      </c>
      <c r="J114" s="9">
        <v>0.19009022786358801</v>
      </c>
      <c r="K114" s="10">
        <v>2.7211729622266399E-2</v>
      </c>
      <c r="L114" s="10">
        <v>0.24312033582089501</v>
      </c>
      <c r="M114" s="10">
        <v>-0.42215568862275399</v>
      </c>
      <c r="N114" s="11">
        <v>0.9</v>
      </c>
      <c r="O114" s="11">
        <v>1</v>
      </c>
      <c r="P114" s="10">
        <v>0</v>
      </c>
      <c r="Q114" s="12">
        <v>71.162366258362098</v>
      </c>
    </row>
    <row r="115" spans="1:17" ht="30" x14ac:dyDescent="0.2">
      <c r="A115" s="6">
        <v>103</v>
      </c>
      <c r="B115" s="7" t="s">
        <v>337</v>
      </c>
      <c r="C115" s="6" t="s">
        <v>338</v>
      </c>
      <c r="D115" s="6" t="s">
        <v>27</v>
      </c>
      <c r="E115" s="6">
        <v>1978</v>
      </c>
      <c r="F115" s="7" t="s">
        <v>339</v>
      </c>
      <c r="G115" s="6" t="s">
        <v>38</v>
      </c>
      <c r="H115" s="8">
        <v>368.6</v>
      </c>
      <c r="I115" s="8">
        <v>324.3</v>
      </c>
      <c r="J115" s="9">
        <v>1.1366019118100501</v>
      </c>
      <c r="K115" s="10">
        <v>-2.3057354301572599E-2</v>
      </c>
      <c r="L115" s="10">
        <v>0.110964964725577</v>
      </c>
      <c r="M115" s="10">
        <v>-0.30923694779116501</v>
      </c>
      <c r="N115" s="11">
        <v>0.8</v>
      </c>
      <c r="O115" s="11">
        <v>0.9</v>
      </c>
      <c r="P115" s="10">
        <v>0.309</v>
      </c>
      <c r="Q115" s="12">
        <v>71.051576877486895</v>
      </c>
    </row>
    <row r="116" spans="1:17" ht="30" x14ac:dyDescent="0.2">
      <c r="A116" s="6">
        <v>104</v>
      </c>
      <c r="B116" s="7" t="s">
        <v>340</v>
      </c>
      <c r="C116" s="6" t="s">
        <v>341</v>
      </c>
      <c r="D116" s="6" t="s">
        <v>27</v>
      </c>
      <c r="E116" s="6">
        <v>1975</v>
      </c>
      <c r="F116" s="7" t="s">
        <v>342</v>
      </c>
      <c r="G116" s="6" t="s">
        <v>54</v>
      </c>
      <c r="H116" s="8">
        <v>69.3</v>
      </c>
      <c r="I116" s="8">
        <v>17.8</v>
      </c>
      <c r="J116" s="9">
        <v>3.8932584269662902</v>
      </c>
      <c r="K116" s="10">
        <v>7.2471910112359594E-2</v>
      </c>
      <c r="L116" s="10">
        <v>1.01980198019802</v>
      </c>
      <c r="M116" s="10">
        <v>4.6666666666666599E-2</v>
      </c>
      <c r="N116" s="11">
        <v>1</v>
      </c>
      <c r="O116" s="11">
        <v>0.9</v>
      </c>
      <c r="P116" s="10">
        <v>0.43125000000000002</v>
      </c>
      <c r="Q116" s="12">
        <v>71.012454982692304</v>
      </c>
    </row>
    <row r="117" spans="1:17" ht="30" x14ac:dyDescent="0.2">
      <c r="A117" s="6">
        <v>105</v>
      </c>
      <c r="B117" s="7" t="s">
        <v>343</v>
      </c>
      <c r="C117" s="6" t="s">
        <v>344</v>
      </c>
      <c r="D117" s="6" t="s">
        <v>36</v>
      </c>
      <c r="E117" s="6"/>
      <c r="F117" s="7" t="s">
        <v>345</v>
      </c>
      <c r="G117" s="6" t="s">
        <v>38</v>
      </c>
      <c r="H117" s="8">
        <v>1142.4000000000001</v>
      </c>
      <c r="I117" s="8">
        <v>810.2</v>
      </c>
      <c r="J117" s="9">
        <v>1.4100222167366101</v>
      </c>
      <c r="K117" s="10">
        <v>8.4145889903727497E-2</v>
      </c>
      <c r="L117" s="10">
        <v>0.79227260993029902</v>
      </c>
      <c r="M117" s="10">
        <v>-2.4320457796852601E-2</v>
      </c>
      <c r="N117" s="11">
        <v>1</v>
      </c>
      <c r="O117" s="11">
        <v>0.9</v>
      </c>
      <c r="P117" s="10">
        <v>0</v>
      </c>
      <c r="Q117" s="12">
        <v>70.798619200475002</v>
      </c>
    </row>
    <row r="118" spans="1:17" ht="30" x14ac:dyDescent="0.2">
      <c r="A118" s="6">
        <v>106</v>
      </c>
      <c r="B118" s="7" t="s">
        <v>346</v>
      </c>
      <c r="C118" s="6" t="s">
        <v>347</v>
      </c>
      <c r="D118" s="6" t="s">
        <v>27</v>
      </c>
      <c r="E118" s="6">
        <v>2002</v>
      </c>
      <c r="F118" s="7" t="s">
        <v>348</v>
      </c>
      <c r="G118" s="6" t="s">
        <v>38</v>
      </c>
      <c r="H118" s="8">
        <v>97.6</v>
      </c>
      <c r="I118" s="8">
        <v>68.099999999999994</v>
      </c>
      <c r="J118" s="9">
        <v>1.4331864904552101</v>
      </c>
      <c r="K118" s="10">
        <v>-2.1222466960352402</v>
      </c>
      <c r="L118" s="10">
        <v>1.00525976814083</v>
      </c>
      <c r="M118" s="10">
        <v>2.76497695852536E-2</v>
      </c>
      <c r="N118" s="11">
        <v>0.5</v>
      </c>
      <c r="O118" s="11">
        <v>0.9</v>
      </c>
      <c r="P118" s="10">
        <v>0.103981</v>
      </c>
      <c r="Q118" s="12">
        <v>70.794893924847003</v>
      </c>
    </row>
    <row r="119" spans="1:17" ht="30" x14ac:dyDescent="0.2">
      <c r="A119" s="6">
        <v>107</v>
      </c>
      <c r="B119" s="7" t="s">
        <v>349</v>
      </c>
      <c r="C119" s="6" t="s">
        <v>350</v>
      </c>
      <c r="D119" s="6" t="s">
        <v>36</v>
      </c>
      <c r="E119" s="6">
        <v>1985</v>
      </c>
      <c r="F119" s="7" t="s">
        <v>351</v>
      </c>
      <c r="G119" s="6" t="s">
        <v>33</v>
      </c>
      <c r="H119" s="8">
        <v>179.3</v>
      </c>
      <c r="I119" s="8">
        <v>12.6</v>
      </c>
      <c r="J119" s="9">
        <v>14.230158730158699</v>
      </c>
      <c r="K119" s="10">
        <v>0.49246031746031799</v>
      </c>
      <c r="L119" s="10">
        <v>2.4859813084112199</v>
      </c>
      <c r="M119" s="10">
        <v>-9.44741532976828E-2</v>
      </c>
      <c r="N119" s="11">
        <v>0.5</v>
      </c>
      <c r="O119" s="11">
        <v>0.9</v>
      </c>
      <c r="P119" s="10">
        <v>0.95</v>
      </c>
      <c r="Q119" s="12">
        <v>70.729482388812201</v>
      </c>
    </row>
    <row r="120" spans="1:17" ht="30" x14ac:dyDescent="0.2">
      <c r="A120" s="6">
        <v>108</v>
      </c>
      <c r="B120" s="7" t="s">
        <v>352</v>
      </c>
      <c r="C120" s="6" t="s">
        <v>353</v>
      </c>
      <c r="D120" s="6" t="s">
        <v>27</v>
      </c>
      <c r="E120" s="6"/>
      <c r="F120" s="7" t="s">
        <v>354</v>
      </c>
      <c r="G120" s="6" t="s">
        <v>54</v>
      </c>
      <c r="H120" s="8">
        <v>547.29999999999995</v>
      </c>
      <c r="I120" s="8">
        <v>336.2</v>
      </c>
      <c r="J120" s="9">
        <v>1.6279000594884001</v>
      </c>
      <c r="K120" s="10">
        <v>5.7257584770969698E-2</v>
      </c>
      <c r="L120" s="10">
        <v>0.36594041796353899</v>
      </c>
      <c r="M120" s="10">
        <v>-7.4626865671641503E-3</v>
      </c>
      <c r="N120" s="11">
        <v>1</v>
      </c>
      <c r="O120" s="11">
        <v>1</v>
      </c>
      <c r="P120" s="10">
        <v>0.46899999999999997</v>
      </c>
      <c r="Q120" s="12">
        <v>70.710038066222694</v>
      </c>
    </row>
    <row r="121" spans="1:17" ht="30" x14ac:dyDescent="0.2">
      <c r="A121" s="6">
        <v>109</v>
      </c>
      <c r="B121" s="7" t="s">
        <v>355</v>
      </c>
      <c r="C121" s="6" t="s">
        <v>356</v>
      </c>
      <c r="D121" s="6" t="s">
        <v>27</v>
      </c>
      <c r="E121" s="6">
        <v>1901</v>
      </c>
      <c r="F121" s="7" t="s">
        <v>357</v>
      </c>
      <c r="G121" s="6" t="s">
        <v>29</v>
      </c>
      <c r="H121" s="8">
        <v>204.5</v>
      </c>
      <c r="I121" s="8">
        <v>288.7</v>
      </c>
      <c r="J121" s="9">
        <v>0.70834776584689996</v>
      </c>
      <c r="K121" s="10">
        <v>5.7239348804987898E-2</v>
      </c>
      <c r="L121" s="10">
        <v>0.75877192982456099</v>
      </c>
      <c r="M121" s="10">
        <v>-6.8702290076335895E-2</v>
      </c>
      <c r="N121" s="11">
        <v>0.9</v>
      </c>
      <c r="O121" s="11">
        <v>1</v>
      </c>
      <c r="P121" s="10">
        <v>0.22459999999999999</v>
      </c>
      <c r="Q121" s="12">
        <v>70.633252374089906</v>
      </c>
    </row>
    <row r="122" spans="1:17" ht="30" x14ac:dyDescent="0.2">
      <c r="A122" s="6">
        <v>110</v>
      </c>
      <c r="B122" s="7" t="s">
        <v>358</v>
      </c>
      <c r="C122" s="6" t="s">
        <v>359</v>
      </c>
      <c r="D122" s="6" t="s">
        <v>27</v>
      </c>
      <c r="E122" s="6"/>
      <c r="F122" s="7" t="s">
        <v>360</v>
      </c>
      <c r="G122" s="6" t="s">
        <v>38</v>
      </c>
      <c r="H122" s="8">
        <v>411</v>
      </c>
      <c r="I122" s="8">
        <v>296.8</v>
      </c>
      <c r="J122" s="9">
        <v>1.3847708894878701</v>
      </c>
      <c r="K122" s="10">
        <v>0.16467318059299199</v>
      </c>
      <c r="L122" s="10">
        <v>0.49673842139595598</v>
      </c>
      <c r="M122" s="10">
        <v>-0.40211640211640198</v>
      </c>
      <c r="N122" s="11">
        <v>1</v>
      </c>
      <c r="O122" s="11">
        <v>1</v>
      </c>
      <c r="P122" s="10">
        <v>0</v>
      </c>
      <c r="Q122" s="12">
        <v>70.562613484049393</v>
      </c>
    </row>
    <row r="123" spans="1:17" ht="45" x14ac:dyDescent="0.2">
      <c r="A123" s="6">
        <v>111</v>
      </c>
      <c r="B123" s="7" t="s">
        <v>361</v>
      </c>
      <c r="C123" s="6" t="s">
        <v>362</v>
      </c>
      <c r="D123" s="6" t="s">
        <v>27</v>
      </c>
      <c r="E123" s="6">
        <v>1932</v>
      </c>
      <c r="F123" s="7" t="s">
        <v>363</v>
      </c>
      <c r="G123" s="6" t="s">
        <v>29</v>
      </c>
      <c r="H123" s="8">
        <v>1063</v>
      </c>
      <c r="I123" s="8">
        <v>1244</v>
      </c>
      <c r="J123" s="9">
        <v>0.85450160771704198</v>
      </c>
      <c r="K123" s="10">
        <v>5.7214630225080401E-2</v>
      </c>
      <c r="L123" s="10">
        <v>0.32040539010304597</v>
      </c>
      <c r="M123" s="10">
        <v>-8.6580086580087794E-3</v>
      </c>
      <c r="N123" s="11">
        <v>1</v>
      </c>
      <c r="O123" s="11">
        <v>1</v>
      </c>
      <c r="P123" s="10">
        <v>0.156</v>
      </c>
      <c r="Q123" s="12">
        <v>70.509873371892397</v>
      </c>
    </row>
    <row r="124" spans="1:17" ht="30" x14ac:dyDescent="0.2">
      <c r="A124" s="6">
        <v>112</v>
      </c>
      <c r="B124" s="7" t="s">
        <v>364</v>
      </c>
      <c r="C124" s="6" t="s">
        <v>365</v>
      </c>
      <c r="D124" s="6" t="s">
        <v>27</v>
      </c>
      <c r="E124" s="6">
        <v>1968</v>
      </c>
      <c r="F124" s="7" t="s">
        <v>366</v>
      </c>
      <c r="G124" s="6" t="s">
        <v>38</v>
      </c>
      <c r="H124" s="8">
        <v>631.20000000000005</v>
      </c>
      <c r="I124" s="8">
        <v>492</v>
      </c>
      <c r="J124" s="9">
        <v>1.28292682926829</v>
      </c>
      <c r="K124" s="10">
        <v>9.9542682926829301E-2</v>
      </c>
      <c r="L124" s="10">
        <v>0.46696576731608402</v>
      </c>
      <c r="M124" s="10">
        <v>2.8776978417266199E-2</v>
      </c>
      <c r="N124" s="11">
        <v>1</v>
      </c>
      <c r="O124" s="11">
        <v>1</v>
      </c>
      <c r="P124" s="10">
        <v>0</v>
      </c>
      <c r="Q124" s="12">
        <v>70.508945443735399</v>
      </c>
    </row>
    <row r="125" spans="1:17" ht="45" x14ac:dyDescent="0.2">
      <c r="A125" s="6">
        <v>113</v>
      </c>
      <c r="B125" s="7" t="s">
        <v>367</v>
      </c>
      <c r="C125" s="6" t="s">
        <v>368</v>
      </c>
      <c r="D125" s="6" t="s">
        <v>36</v>
      </c>
      <c r="E125" s="6"/>
      <c r="F125" s="7" t="s">
        <v>369</v>
      </c>
      <c r="G125" s="6" t="s">
        <v>38</v>
      </c>
      <c r="H125" s="8">
        <v>185.9</v>
      </c>
      <c r="I125" s="8">
        <v>117</v>
      </c>
      <c r="J125" s="9">
        <v>1.5888888888888899</v>
      </c>
      <c r="K125" s="10">
        <v>0.19995726495726501</v>
      </c>
      <c r="L125" s="10">
        <v>1.5750350631136101</v>
      </c>
      <c r="M125" s="10">
        <v>-0.122324159021407</v>
      </c>
      <c r="N125" s="11">
        <v>0.8</v>
      </c>
      <c r="O125" s="11">
        <v>0.7</v>
      </c>
      <c r="P125" s="10">
        <v>0</v>
      </c>
      <c r="Q125" s="12">
        <v>70.442114808780701</v>
      </c>
    </row>
    <row r="126" spans="1:17" ht="30" x14ac:dyDescent="0.2">
      <c r="A126" s="6">
        <v>114</v>
      </c>
      <c r="B126" s="7" t="s">
        <v>370</v>
      </c>
      <c r="C126" s="6" t="s">
        <v>371</v>
      </c>
      <c r="D126" s="6" t="s">
        <v>27</v>
      </c>
      <c r="E126" s="6">
        <v>2017</v>
      </c>
      <c r="F126" s="7" t="s">
        <v>372</v>
      </c>
      <c r="G126" s="6" t="s">
        <v>38</v>
      </c>
      <c r="H126" s="8">
        <v>467</v>
      </c>
      <c r="I126" s="8">
        <v>486.6</v>
      </c>
      <c r="J126" s="9">
        <v>0.95972050965885702</v>
      </c>
      <c r="K126" s="10">
        <v>-2.0396629675298001E-2</v>
      </c>
      <c r="L126" s="10">
        <v>0.354685270334549</v>
      </c>
      <c r="M126" s="10">
        <v>0.11229946524064199</v>
      </c>
      <c r="N126" s="11">
        <v>0.7</v>
      </c>
      <c r="O126" s="11">
        <v>0.9</v>
      </c>
      <c r="P126" s="10">
        <v>0.308</v>
      </c>
      <c r="Q126" s="12">
        <v>70.378554928927798</v>
      </c>
    </row>
    <row r="127" spans="1:17" ht="30" x14ac:dyDescent="0.2">
      <c r="A127" s="6">
        <v>115</v>
      </c>
      <c r="B127" s="7" t="s">
        <v>373</v>
      </c>
      <c r="C127" s="6" t="s">
        <v>374</v>
      </c>
      <c r="D127" s="6" t="s">
        <v>27</v>
      </c>
      <c r="E127" s="6">
        <v>1995</v>
      </c>
      <c r="F127" s="7" t="s">
        <v>375</v>
      </c>
      <c r="G127" s="6" t="s">
        <v>38</v>
      </c>
      <c r="H127" s="8">
        <v>388.9</v>
      </c>
      <c r="I127" s="8">
        <v>271.8</v>
      </c>
      <c r="J127" s="9">
        <v>1.4308314937454001</v>
      </c>
      <c r="K127" s="10">
        <v>7.8918322295805698E-2</v>
      </c>
      <c r="L127" s="10">
        <v>0.264690587623505</v>
      </c>
      <c r="M127" s="10">
        <v>-2.2613065326633101E-2</v>
      </c>
      <c r="N127" s="11">
        <v>0.5</v>
      </c>
      <c r="O127" s="11">
        <v>0.7</v>
      </c>
      <c r="P127" s="10">
        <v>0.63600000000000001</v>
      </c>
      <c r="Q127" s="12">
        <v>70.178069196846806</v>
      </c>
    </row>
    <row r="128" spans="1:17" ht="30" x14ac:dyDescent="0.2">
      <c r="A128" s="6">
        <v>116</v>
      </c>
      <c r="B128" s="7" t="s">
        <v>376</v>
      </c>
      <c r="C128" s="6" t="s">
        <v>377</v>
      </c>
      <c r="D128" s="6" t="s">
        <v>27</v>
      </c>
      <c r="E128" s="6">
        <v>1965</v>
      </c>
      <c r="F128" s="7" t="s">
        <v>378</v>
      </c>
      <c r="G128" s="6" t="s">
        <v>29</v>
      </c>
      <c r="H128" s="8">
        <v>122.6</v>
      </c>
      <c r="I128" s="8">
        <v>132.4</v>
      </c>
      <c r="J128" s="9">
        <v>0.92598187311178204</v>
      </c>
      <c r="K128" s="10">
        <v>9.0011329305136001E-2</v>
      </c>
      <c r="L128" s="10">
        <v>7.0495867768595</v>
      </c>
      <c r="M128" s="10">
        <v>2.3529411764705899E-2</v>
      </c>
      <c r="N128" s="11">
        <v>0.7</v>
      </c>
      <c r="O128" s="11">
        <v>0.7</v>
      </c>
      <c r="P128" s="10">
        <v>7.4999999999999997E-2</v>
      </c>
      <c r="Q128" s="12">
        <v>70.173451327433597</v>
      </c>
    </row>
    <row r="129" spans="1:17" ht="45" x14ac:dyDescent="0.2">
      <c r="A129" s="6">
        <v>117</v>
      </c>
      <c r="B129" s="7" t="s">
        <v>379</v>
      </c>
      <c r="C129" s="6" t="s">
        <v>380</v>
      </c>
      <c r="D129" s="6" t="s">
        <v>27</v>
      </c>
      <c r="E129" s="6">
        <v>1991</v>
      </c>
      <c r="F129" s="7" t="s">
        <v>381</v>
      </c>
      <c r="G129" s="6" t="s">
        <v>33</v>
      </c>
      <c r="H129" s="8">
        <v>29.5</v>
      </c>
      <c r="I129" s="8">
        <v>27.7</v>
      </c>
      <c r="J129" s="9">
        <v>1.06498194945848</v>
      </c>
      <c r="K129" s="10">
        <v>0.18819494584837601</v>
      </c>
      <c r="L129" s="10">
        <v>0.19277108433734899</v>
      </c>
      <c r="M129" s="10">
        <v>0.106851037083595</v>
      </c>
      <c r="N129" s="11">
        <v>0.6</v>
      </c>
      <c r="O129" s="11">
        <v>0.8</v>
      </c>
      <c r="P129" s="10">
        <v>0.36</v>
      </c>
      <c r="Q129" s="12">
        <v>70.159839028695899</v>
      </c>
    </row>
    <row r="130" spans="1:17" ht="45" x14ac:dyDescent="0.2">
      <c r="A130" s="6">
        <v>118</v>
      </c>
      <c r="B130" s="7" t="s">
        <v>382</v>
      </c>
      <c r="C130" s="6" t="s">
        <v>383</v>
      </c>
      <c r="D130" s="6" t="s">
        <v>36</v>
      </c>
      <c r="E130" s="6">
        <v>1858</v>
      </c>
      <c r="F130" s="7" t="s">
        <v>384</v>
      </c>
      <c r="G130" s="6" t="s">
        <v>38</v>
      </c>
      <c r="H130" s="8">
        <v>519.20000000000005</v>
      </c>
      <c r="I130" s="8">
        <v>392</v>
      </c>
      <c r="J130" s="9">
        <v>1.3244897959183699</v>
      </c>
      <c r="K130" s="10">
        <v>0.11887755102040801</v>
      </c>
      <c r="L130" s="10">
        <v>0.71990766186654898</v>
      </c>
      <c r="M130" s="10">
        <v>9.9009900990099001E-2</v>
      </c>
      <c r="N130" s="11">
        <v>1</v>
      </c>
      <c r="O130" s="11">
        <v>0.7</v>
      </c>
      <c r="P130" s="10">
        <v>0</v>
      </c>
      <c r="Q130" s="12">
        <v>70.144679747368102</v>
      </c>
    </row>
    <row r="131" spans="1:17" ht="30" x14ac:dyDescent="0.2">
      <c r="A131" s="6">
        <v>119</v>
      </c>
      <c r="B131" s="7" t="s">
        <v>385</v>
      </c>
      <c r="C131" s="6" t="s">
        <v>386</v>
      </c>
      <c r="D131" s="6" t="s">
        <v>27</v>
      </c>
      <c r="E131" s="6">
        <v>1888</v>
      </c>
      <c r="F131" s="7" t="s">
        <v>387</v>
      </c>
      <c r="G131" s="6" t="s">
        <v>54</v>
      </c>
      <c r="H131" s="8">
        <v>643.29999999999995</v>
      </c>
      <c r="I131" s="8">
        <v>391.1</v>
      </c>
      <c r="J131" s="9">
        <v>1.64484786499616</v>
      </c>
      <c r="K131" s="10">
        <v>7.7473791869087205E-2</v>
      </c>
      <c r="L131" s="10">
        <v>1.1936274509803899</v>
      </c>
      <c r="M131" s="10">
        <v>0</v>
      </c>
      <c r="N131" s="11">
        <v>0.7</v>
      </c>
      <c r="O131" s="11">
        <v>0.7</v>
      </c>
      <c r="P131" s="10">
        <v>0.46</v>
      </c>
      <c r="Q131" s="12">
        <v>70.085123990696403</v>
      </c>
    </row>
    <row r="132" spans="1:17" ht="30" x14ac:dyDescent="0.2">
      <c r="A132" s="6">
        <v>120</v>
      </c>
      <c r="B132" s="7" t="s">
        <v>388</v>
      </c>
      <c r="C132" s="6" t="s">
        <v>389</v>
      </c>
      <c r="D132" s="6" t="s">
        <v>27</v>
      </c>
      <c r="E132" s="6"/>
      <c r="F132" s="7" t="s">
        <v>390</v>
      </c>
      <c r="G132" s="6" t="s">
        <v>38</v>
      </c>
      <c r="H132" s="8">
        <v>147.9</v>
      </c>
      <c r="I132" s="8">
        <v>82.4</v>
      </c>
      <c r="J132" s="9">
        <v>1.79490291262136</v>
      </c>
      <c r="K132" s="10">
        <v>0.266686893203884</v>
      </c>
      <c r="L132" s="10">
        <v>0.119647355163728</v>
      </c>
      <c r="M132" s="10">
        <v>-4.3177892918825601E-2</v>
      </c>
      <c r="N132" s="11">
        <v>1</v>
      </c>
      <c r="O132" s="11">
        <v>1</v>
      </c>
      <c r="P132" s="10">
        <v>0</v>
      </c>
      <c r="Q132" s="12">
        <v>69.872016742633093</v>
      </c>
    </row>
    <row r="133" spans="1:17" ht="45" x14ac:dyDescent="0.2">
      <c r="A133" s="6">
        <v>121</v>
      </c>
      <c r="B133" s="7" t="s">
        <v>391</v>
      </c>
      <c r="C133" s="6" t="s">
        <v>392</v>
      </c>
      <c r="D133" s="6" t="s">
        <v>27</v>
      </c>
      <c r="E133" s="6">
        <v>1906</v>
      </c>
      <c r="F133" s="7" t="s">
        <v>393</v>
      </c>
      <c r="G133" s="6" t="s">
        <v>38</v>
      </c>
      <c r="H133" s="8">
        <v>99.5</v>
      </c>
      <c r="I133" s="8">
        <v>66.2</v>
      </c>
      <c r="J133" s="9">
        <v>1.5030211480362501</v>
      </c>
      <c r="K133" s="10">
        <v>0.13897658610271901</v>
      </c>
      <c r="L133" s="10">
        <v>1.0832729905865299</v>
      </c>
      <c r="M133" s="10">
        <v>9.5588235294117599E-2</v>
      </c>
      <c r="N133" s="11">
        <v>0.6</v>
      </c>
      <c r="O133" s="11">
        <v>0.8</v>
      </c>
      <c r="P133" s="10">
        <v>0.26400000000000001</v>
      </c>
      <c r="Q133" s="12">
        <v>69.8469351106815</v>
      </c>
    </row>
    <row r="134" spans="1:17" ht="30" x14ac:dyDescent="0.2">
      <c r="A134" s="6">
        <v>122</v>
      </c>
      <c r="B134" s="7" t="s">
        <v>394</v>
      </c>
      <c r="C134" s="6" t="s">
        <v>395</v>
      </c>
      <c r="D134" s="6" t="s">
        <v>27</v>
      </c>
      <c r="E134" s="6">
        <v>1987</v>
      </c>
      <c r="F134" s="7" t="s">
        <v>396</v>
      </c>
      <c r="G134" s="6" t="s">
        <v>38</v>
      </c>
      <c r="H134" s="8">
        <v>21.5</v>
      </c>
      <c r="I134" s="8">
        <v>14.2</v>
      </c>
      <c r="J134" s="9">
        <v>1.5140845070422499</v>
      </c>
      <c r="K134" s="10">
        <v>0.136619718309859</v>
      </c>
      <c r="L134" s="10">
        <v>2.5831809872029301</v>
      </c>
      <c r="M134" s="10">
        <v>0.12839506172839499</v>
      </c>
      <c r="N134" s="11">
        <v>0.9</v>
      </c>
      <c r="O134" s="11">
        <v>1</v>
      </c>
      <c r="P134" s="10">
        <v>0</v>
      </c>
      <c r="Q134" s="12">
        <v>69.768486770568103</v>
      </c>
    </row>
    <row r="135" spans="1:17" ht="30" x14ac:dyDescent="0.2">
      <c r="A135" s="6">
        <v>123</v>
      </c>
      <c r="B135" s="7" t="s">
        <v>397</v>
      </c>
      <c r="C135" s="6" t="s">
        <v>398</v>
      </c>
      <c r="D135" s="6" t="s">
        <v>27</v>
      </c>
      <c r="E135" s="6">
        <v>2004</v>
      </c>
      <c r="F135" s="7" t="s">
        <v>399</v>
      </c>
      <c r="G135" s="6" t="s">
        <v>29</v>
      </c>
      <c r="H135" s="8">
        <v>398.9</v>
      </c>
      <c r="I135" s="8">
        <v>617.29999999999995</v>
      </c>
      <c r="J135" s="9">
        <v>0.64620119876883197</v>
      </c>
      <c r="K135" s="10">
        <v>0.16119350396889701</v>
      </c>
      <c r="L135" s="10">
        <v>0.57044125465178097</v>
      </c>
      <c r="M135" s="10">
        <v>-0.113561190738699</v>
      </c>
      <c r="N135" s="11">
        <v>0.8</v>
      </c>
      <c r="O135" s="11">
        <v>0.8</v>
      </c>
      <c r="P135" s="10">
        <v>0.151</v>
      </c>
      <c r="Q135" s="12">
        <v>69.536863609460397</v>
      </c>
    </row>
    <row r="136" spans="1:17" ht="45" x14ac:dyDescent="0.2">
      <c r="A136" s="6">
        <v>124</v>
      </c>
      <c r="B136" s="7" t="s">
        <v>400</v>
      </c>
      <c r="C136" s="6" t="s">
        <v>401</v>
      </c>
      <c r="D136" s="6" t="s">
        <v>27</v>
      </c>
      <c r="E136" s="6"/>
      <c r="F136" s="7" t="s">
        <v>402</v>
      </c>
      <c r="G136" s="6" t="s">
        <v>29</v>
      </c>
      <c r="H136" s="8">
        <v>50.3</v>
      </c>
      <c r="I136" s="8">
        <v>62.5</v>
      </c>
      <c r="J136" s="9">
        <v>0.80479999999999996</v>
      </c>
      <c r="K136" s="10">
        <v>5.9720000000000002E-2</v>
      </c>
      <c r="L136" s="10">
        <v>0.27922077922077898</v>
      </c>
      <c r="M136" s="10">
        <v>-0.36904761904761901</v>
      </c>
      <c r="N136" s="11">
        <v>1</v>
      </c>
      <c r="O136" s="11">
        <v>0.9</v>
      </c>
      <c r="P136" s="10">
        <v>0.35599999999999998</v>
      </c>
      <c r="Q136" s="12">
        <v>69.387997469356307</v>
      </c>
    </row>
    <row r="137" spans="1:17" ht="30" x14ac:dyDescent="0.2">
      <c r="A137" s="6">
        <v>125</v>
      </c>
      <c r="B137" s="7" t="s">
        <v>403</v>
      </c>
      <c r="C137" s="6" t="s">
        <v>404</v>
      </c>
      <c r="D137" s="6" t="s">
        <v>27</v>
      </c>
      <c r="E137" s="6"/>
      <c r="F137" s="7" t="s">
        <v>405</v>
      </c>
      <c r="G137" s="6" t="s">
        <v>38</v>
      </c>
      <c r="H137" s="8">
        <v>364.5</v>
      </c>
      <c r="I137" s="8">
        <v>116.6</v>
      </c>
      <c r="J137" s="9">
        <v>3.1260720411663798</v>
      </c>
      <c r="K137" s="10">
        <v>0.13872212692967401</v>
      </c>
      <c r="L137" s="10">
        <v>2.9641555285540702</v>
      </c>
      <c r="M137" s="10">
        <v>4.4444444444443499E-3</v>
      </c>
      <c r="N137" s="11">
        <v>1</v>
      </c>
      <c r="O137" s="11">
        <v>0.8</v>
      </c>
      <c r="P137" s="10">
        <v>0</v>
      </c>
      <c r="Q137" s="12">
        <v>69.322843395511697</v>
      </c>
    </row>
    <row r="138" spans="1:17" ht="30" x14ac:dyDescent="0.2">
      <c r="A138" s="6">
        <v>126</v>
      </c>
      <c r="B138" s="7" t="s">
        <v>406</v>
      </c>
      <c r="C138" s="6" t="s">
        <v>407</v>
      </c>
      <c r="D138" s="6" t="s">
        <v>27</v>
      </c>
      <c r="E138" s="6">
        <v>1970</v>
      </c>
      <c r="F138" s="7" t="s">
        <v>408</v>
      </c>
      <c r="G138" s="6" t="s">
        <v>54</v>
      </c>
      <c r="H138" s="8">
        <v>178.7</v>
      </c>
      <c r="I138" s="8">
        <v>103.6</v>
      </c>
      <c r="J138" s="9">
        <v>1.7249034749034799</v>
      </c>
      <c r="K138" s="10">
        <v>4.38223938223938E-2</v>
      </c>
      <c r="L138" s="10">
        <v>1.83084577114428</v>
      </c>
      <c r="M138" s="10">
        <v>0.18446601941747601</v>
      </c>
      <c r="N138" s="11">
        <v>0.8</v>
      </c>
      <c r="O138" s="11">
        <v>0.8</v>
      </c>
      <c r="P138" s="10">
        <v>0.432</v>
      </c>
      <c r="Q138" s="12">
        <v>69.222791071645602</v>
      </c>
    </row>
    <row r="139" spans="1:17" ht="30" x14ac:dyDescent="0.2">
      <c r="A139" s="6">
        <v>127</v>
      </c>
      <c r="B139" s="7" t="s">
        <v>409</v>
      </c>
      <c r="C139" s="6" t="s">
        <v>410</v>
      </c>
      <c r="D139" s="6" t="s">
        <v>27</v>
      </c>
      <c r="E139" s="6">
        <v>1991</v>
      </c>
      <c r="F139" s="7" t="s">
        <v>411</v>
      </c>
      <c r="G139" s="6" t="s">
        <v>38</v>
      </c>
      <c r="H139" s="8">
        <v>669.1</v>
      </c>
      <c r="I139" s="8">
        <v>254.8</v>
      </c>
      <c r="J139" s="9">
        <v>2.6259811616954498</v>
      </c>
      <c r="K139" s="10">
        <v>0.15629905808477201</v>
      </c>
      <c r="L139" s="10">
        <v>0.68170829975825897</v>
      </c>
      <c r="M139" s="10">
        <v>-0.108571428571429</v>
      </c>
      <c r="N139" s="11">
        <v>1</v>
      </c>
      <c r="O139" s="11">
        <v>1</v>
      </c>
      <c r="P139" s="10">
        <v>0</v>
      </c>
      <c r="Q139" s="12">
        <v>69.142933571097203</v>
      </c>
    </row>
    <row r="140" spans="1:17" ht="45" x14ac:dyDescent="0.2">
      <c r="A140" s="6">
        <v>128</v>
      </c>
      <c r="B140" s="7" t="s">
        <v>412</v>
      </c>
      <c r="C140" s="6" t="s">
        <v>413</v>
      </c>
      <c r="D140" s="6" t="s">
        <v>36</v>
      </c>
      <c r="E140" s="6">
        <v>1924</v>
      </c>
      <c r="F140" s="7" t="s">
        <v>414</v>
      </c>
      <c r="G140" s="6" t="s">
        <v>38</v>
      </c>
      <c r="H140" s="8">
        <v>302.39999999999998</v>
      </c>
      <c r="I140" s="8">
        <v>134.4</v>
      </c>
      <c r="J140" s="9">
        <v>2.25</v>
      </c>
      <c r="K140" s="10">
        <v>0.13523065476190499</v>
      </c>
      <c r="L140" s="10">
        <v>0.83413231064237803</v>
      </c>
      <c r="M140" s="10">
        <v>0</v>
      </c>
      <c r="N140" s="11">
        <v>1</v>
      </c>
      <c r="O140" s="11">
        <v>1</v>
      </c>
      <c r="P140" s="10">
        <v>0</v>
      </c>
      <c r="Q140" s="12">
        <v>69.123833518602794</v>
      </c>
    </row>
    <row r="141" spans="1:17" ht="30" x14ac:dyDescent="0.2">
      <c r="A141" s="6">
        <v>129</v>
      </c>
      <c r="B141" s="7" t="s">
        <v>415</v>
      </c>
      <c r="C141" s="6" t="s">
        <v>416</v>
      </c>
      <c r="D141" s="6" t="s">
        <v>36</v>
      </c>
      <c r="E141" s="6"/>
      <c r="F141" s="7" t="s">
        <v>417</v>
      </c>
      <c r="G141" s="6" t="s">
        <v>38</v>
      </c>
      <c r="H141" s="8">
        <v>41.9</v>
      </c>
      <c r="I141" s="8">
        <v>33.9</v>
      </c>
      <c r="J141" s="9">
        <v>1.2359882005899701</v>
      </c>
      <c r="K141" s="10">
        <v>6.5007374631268405E-2</v>
      </c>
      <c r="L141" s="10">
        <v>0.13099041533546299</v>
      </c>
      <c r="M141" s="10">
        <v>0</v>
      </c>
      <c r="N141" s="11">
        <v>0.7</v>
      </c>
      <c r="O141" s="11">
        <v>0.9</v>
      </c>
      <c r="P141" s="10">
        <v>0.30499999999999999</v>
      </c>
      <c r="Q141" s="12">
        <v>69.101815924965393</v>
      </c>
    </row>
    <row r="142" spans="1:17" ht="30" x14ac:dyDescent="0.2">
      <c r="A142" s="6">
        <v>130</v>
      </c>
      <c r="B142" s="7" t="s">
        <v>418</v>
      </c>
      <c r="C142" s="6" t="s">
        <v>419</v>
      </c>
      <c r="D142" s="6" t="s">
        <v>27</v>
      </c>
      <c r="E142" s="6">
        <v>2000</v>
      </c>
      <c r="F142" s="7" t="s">
        <v>420</v>
      </c>
      <c r="G142" s="6" t="s">
        <v>38</v>
      </c>
      <c r="H142" s="8">
        <v>25</v>
      </c>
      <c r="I142" s="8">
        <v>11.1</v>
      </c>
      <c r="J142" s="9">
        <v>2.2522522522522501</v>
      </c>
      <c r="K142" s="10">
        <v>0.17409909909909899</v>
      </c>
      <c r="L142" s="10">
        <v>0.58267716535433101</v>
      </c>
      <c r="M142" s="10">
        <v>0</v>
      </c>
      <c r="N142" s="11">
        <v>0.9</v>
      </c>
      <c r="O142" s="11">
        <v>1</v>
      </c>
      <c r="P142" s="10">
        <v>0</v>
      </c>
      <c r="Q142" s="12">
        <v>68.904494555204494</v>
      </c>
    </row>
    <row r="143" spans="1:17" ht="30" x14ac:dyDescent="0.2">
      <c r="A143" s="6">
        <v>131</v>
      </c>
      <c r="B143" s="7" t="s">
        <v>421</v>
      </c>
      <c r="C143" s="6" t="s">
        <v>422</v>
      </c>
      <c r="D143" s="6" t="s">
        <v>27</v>
      </c>
      <c r="E143" s="6"/>
      <c r="F143" s="7" t="s">
        <v>423</v>
      </c>
      <c r="G143" s="6" t="s">
        <v>38</v>
      </c>
      <c r="H143" s="8">
        <v>385.2</v>
      </c>
      <c r="I143" s="8">
        <v>179.6</v>
      </c>
      <c r="J143" s="9">
        <v>2.1447661469933199</v>
      </c>
      <c r="K143" s="10">
        <v>0.23424276169264999</v>
      </c>
      <c r="L143" s="10">
        <v>1.3552631578947401</v>
      </c>
      <c r="M143" s="10">
        <v>0.18141592920353999</v>
      </c>
      <c r="N143" s="11">
        <v>0.7</v>
      </c>
      <c r="O143" s="11">
        <v>0.9</v>
      </c>
      <c r="P143" s="10">
        <v>0</v>
      </c>
      <c r="Q143" s="12">
        <v>68.902569407524297</v>
      </c>
    </row>
    <row r="144" spans="1:17" ht="30" x14ac:dyDescent="0.2">
      <c r="A144" s="6">
        <v>132</v>
      </c>
      <c r="B144" s="7" t="s">
        <v>424</v>
      </c>
      <c r="C144" s="6" t="s">
        <v>425</v>
      </c>
      <c r="D144" s="6" t="s">
        <v>27</v>
      </c>
      <c r="E144" s="6">
        <v>1948</v>
      </c>
      <c r="F144" s="7" t="s">
        <v>426</v>
      </c>
      <c r="G144" s="6" t="s">
        <v>38</v>
      </c>
      <c r="H144" s="8">
        <v>32.6</v>
      </c>
      <c r="I144" s="8">
        <v>30.6</v>
      </c>
      <c r="J144" s="9">
        <v>1.0653594771241801</v>
      </c>
      <c r="K144" s="10">
        <v>8.1944444444444403E-2</v>
      </c>
      <c r="L144" s="10">
        <v>1.83154121863799</v>
      </c>
      <c r="M144" s="10">
        <v>-3.7974683544303799E-2</v>
      </c>
      <c r="N144" s="11">
        <v>0.8</v>
      </c>
      <c r="O144" s="11">
        <v>1</v>
      </c>
      <c r="P144" s="10">
        <v>0</v>
      </c>
      <c r="Q144" s="12">
        <v>68.787209916939403</v>
      </c>
    </row>
    <row r="145" spans="1:17" ht="45" x14ac:dyDescent="0.2">
      <c r="A145" s="6">
        <v>133</v>
      </c>
      <c r="B145" s="7" t="s">
        <v>427</v>
      </c>
      <c r="C145" s="6" t="s">
        <v>428</v>
      </c>
      <c r="D145" s="6" t="s">
        <v>27</v>
      </c>
      <c r="E145" s="6"/>
      <c r="F145" s="7" t="s">
        <v>429</v>
      </c>
      <c r="G145" s="6" t="s">
        <v>38</v>
      </c>
      <c r="H145" s="8">
        <v>277.7</v>
      </c>
      <c r="I145" s="8">
        <v>55.4</v>
      </c>
      <c r="J145" s="9">
        <v>5.0126353790613702</v>
      </c>
      <c r="K145" s="10">
        <v>-1.0171480144404299</v>
      </c>
      <c r="L145" s="10">
        <v>0.73152804642166402</v>
      </c>
      <c r="M145" s="10">
        <v>-3.2858707557502399E-3</v>
      </c>
      <c r="N145" s="11">
        <v>0.5</v>
      </c>
      <c r="O145" s="11">
        <v>1</v>
      </c>
      <c r="P145" s="10">
        <v>0.312</v>
      </c>
      <c r="Q145" s="12">
        <v>68.754067814113398</v>
      </c>
    </row>
    <row r="146" spans="1:17" ht="45" x14ac:dyDescent="0.2">
      <c r="A146" s="6">
        <v>134</v>
      </c>
      <c r="B146" s="7" t="s">
        <v>430</v>
      </c>
      <c r="C146" s="6" t="s">
        <v>431</v>
      </c>
      <c r="D146" s="6" t="s">
        <v>27</v>
      </c>
      <c r="E146" s="6">
        <v>1951</v>
      </c>
      <c r="F146" s="7" t="s">
        <v>432</v>
      </c>
      <c r="G146" s="6" t="s">
        <v>38</v>
      </c>
      <c r="H146" s="8">
        <v>696.9</v>
      </c>
      <c r="I146" s="8">
        <v>241</v>
      </c>
      <c r="J146" s="9">
        <v>2.8917012448132802</v>
      </c>
      <c r="K146" s="10">
        <v>0.21296680497925299</v>
      </c>
      <c r="L146" s="10">
        <v>0.475493694979776</v>
      </c>
      <c r="M146" s="10">
        <v>-0.115254237288136</v>
      </c>
      <c r="N146" s="11">
        <v>1</v>
      </c>
      <c r="O146" s="11">
        <v>0.8</v>
      </c>
      <c r="P146" s="10">
        <v>0</v>
      </c>
      <c r="Q146" s="12">
        <v>68.692491700659005</v>
      </c>
    </row>
    <row r="147" spans="1:17" ht="30" x14ac:dyDescent="0.2">
      <c r="A147" s="6">
        <v>135</v>
      </c>
      <c r="B147" s="7" t="s">
        <v>433</v>
      </c>
      <c r="C147" s="6" t="s">
        <v>434</v>
      </c>
      <c r="D147" s="6" t="s">
        <v>36</v>
      </c>
      <c r="E147" s="6">
        <v>1984</v>
      </c>
      <c r="F147" s="7" t="s">
        <v>435</v>
      </c>
      <c r="G147" s="6" t="s">
        <v>38</v>
      </c>
      <c r="H147" s="8">
        <v>610.79999999999995</v>
      </c>
      <c r="I147" s="8">
        <v>434.9</v>
      </c>
      <c r="J147" s="9">
        <v>1.40446079558519</v>
      </c>
      <c r="K147" s="10">
        <v>0.133421476201426</v>
      </c>
      <c r="L147" s="10">
        <v>0.52295492487479101</v>
      </c>
      <c r="M147" s="10">
        <v>1.2891344383057101E-2</v>
      </c>
      <c r="N147" s="11">
        <v>1</v>
      </c>
      <c r="O147" s="11">
        <v>1</v>
      </c>
      <c r="P147" s="10">
        <v>0</v>
      </c>
      <c r="Q147" s="12">
        <v>68.632209323106807</v>
      </c>
    </row>
    <row r="148" spans="1:17" ht="30" x14ac:dyDescent="0.2">
      <c r="A148" s="6">
        <v>136</v>
      </c>
      <c r="B148" s="7" t="s">
        <v>436</v>
      </c>
      <c r="C148" s="6" t="s">
        <v>437</v>
      </c>
      <c r="D148" s="6" t="s">
        <v>27</v>
      </c>
      <c r="E148" s="6">
        <v>1878</v>
      </c>
      <c r="F148" s="7" t="s">
        <v>438</v>
      </c>
      <c r="G148" s="6" t="s">
        <v>29</v>
      </c>
      <c r="H148" s="8">
        <v>316.60000000000002</v>
      </c>
      <c r="I148" s="8">
        <v>605.9</v>
      </c>
      <c r="J148" s="9">
        <v>0.52252847004456204</v>
      </c>
      <c r="K148" s="10">
        <v>0.21055454695494299</v>
      </c>
      <c r="L148" s="10">
        <v>6.0189908184885899E-2</v>
      </c>
      <c r="M148" s="10">
        <v>-0.23113207547169801</v>
      </c>
      <c r="N148" s="11">
        <v>0.8</v>
      </c>
      <c r="O148" s="11">
        <v>1</v>
      </c>
      <c r="P148" s="10">
        <v>0</v>
      </c>
      <c r="Q148" s="12">
        <v>68.563729192550298</v>
      </c>
    </row>
    <row r="149" spans="1:17" ht="30" x14ac:dyDescent="0.2">
      <c r="A149" s="6">
        <v>137</v>
      </c>
      <c r="B149" s="7" t="s">
        <v>439</v>
      </c>
      <c r="C149" s="6" t="s">
        <v>440</v>
      </c>
      <c r="D149" s="6" t="s">
        <v>27</v>
      </c>
      <c r="E149" s="6">
        <v>1962</v>
      </c>
      <c r="F149" s="7" t="s">
        <v>441</v>
      </c>
      <c r="G149" s="6" t="s">
        <v>38</v>
      </c>
      <c r="H149" s="8">
        <v>447.6</v>
      </c>
      <c r="I149" s="8">
        <v>124.6</v>
      </c>
      <c r="J149" s="9">
        <v>3.59229534510433</v>
      </c>
      <c r="K149" s="10">
        <v>0.44482343499197402</v>
      </c>
      <c r="L149" s="10">
        <v>7.0470561491247702E-3</v>
      </c>
      <c r="M149" s="10">
        <v>-0.32319391634980998</v>
      </c>
      <c r="N149" s="11">
        <v>1</v>
      </c>
      <c r="O149" s="11">
        <v>1</v>
      </c>
      <c r="P149" s="10">
        <v>0</v>
      </c>
      <c r="Q149" s="12">
        <v>68.491430454341298</v>
      </c>
    </row>
    <row r="150" spans="1:17" ht="30" x14ac:dyDescent="0.2">
      <c r="A150" s="6">
        <v>138</v>
      </c>
      <c r="B150" s="7" t="s">
        <v>442</v>
      </c>
      <c r="C150" s="6" t="s">
        <v>443</v>
      </c>
      <c r="D150" s="6" t="s">
        <v>27</v>
      </c>
      <c r="E150" s="6">
        <v>1997</v>
      </c>
      <c r="F150" s="7" t="s">
        <v>444</v>
      </c>
      <c r="G150" s="6" t="s">
        <v>38</v>
      </c>
      <c r="H150" s="8">
        <v>1056.7</v>
      </c>
      <c r="I150" s="8">
        <v>285.2</v>
      </c>
      <c r="J150" s="9">
        <v>3.7051192145862601</v>
      </c>
      <c r="K150" s="10">
        <v>0.16733870967741901</v>
      </c>
      <c r="L150" s="10">
        <v>8.1930501930501904</v>
      </c>
      <c r="M150" s="10">
        <v>7.3643410852713101E-2</v>
      </c>
      <c r="N150" s="11">
        <v>1</v>
      </c>
      <c r="O150" s="11">
        <v>1</v>
      </c>
      <c r="P150" s="10">
        <v>0</v>
      </c>
      <c r="Q150" s="12">
        <v>68.123893805309706</v>
      </c>
    </row>
    <row r="151" spans="1:17" ht="45" x14ac:dyDescent="0.2">
      <c r="A151" s="6">
        <v>139</v>
      </c>
      <c r="B151" s="7" t="s">
        <v>445</v>
      </c>
      <c r="C151" s="6" t="s">
        <v>446</v>
      </c>
      <c r="D151" s="6" t="s">
        <v>27</v>
      </c>
      <c r="E151" s="6"/>
      <c r="F151" s="7" t="s">
        <v>447</v>
      </c>
      <c r="G151" s="6" t="s">
        <v>33</v>
      </c>
      <c r="H151" s="8">
        <v>132</v>
      </c>
      <c r="I151" s="8">
        <v>36.1</v>
      </c>
      <c r="J151" s="9">
        <v>3.6565096952908598</v>
      </c>
      <c r="K151" s="10">
        <v>0.17063711911357299</v>
      </c>
      <c r="L151" s="10">
        <v>1.8934426229508201</v>
      </c>
      <c r="M151" s="10">
        <v>0.197115384615385</v>
      </c>
      <c r="N151" s="11">
        <v>0.7</v>
      </c>
      <c r="O151" s="11">
        <v>0.8</v>
      </c>
      <c r="P151" s="10">
        <v>0.376</v>
      </c>
      <c r="Q151" s="12">
        <v>68.092477715849498</v>
      </c>
    </row>
    <row r="152" spans="1:17" ht="30" x14ac:dyDescent="0.2">
      <c r="A152" s="6">
        <v>140</v>
      </c>
      <c r="B152" s="7" t="s">
        <v>448</v>
      </c>
      <c r="C152" s="6" t="s">
        <v>449</v>
      </c>
      <c r="D152" s="6" t="s">
        <v>27</v>
      </c>
      <c r="E152" s="6">
        <v>1955</v>
      </c>
      <c r="F152" s="7" t="s">
        <v>450</v>
      </c>
      <c r="G152" s="6" t="s">
        <v>38</v>
      </c>
      <c r="H152" s="8">
        <v>588.70000000000005</v>
      </c>
      <c r="I152" s="8">
        <v>212.4</v>
      </c>
      <c r="J152" s="9">
        <v>2.7716572504708101</v>
      </c>
      <c r="K152" s="10">
        <v>0.149952919020716</v>
      </c>
      <c r="L152" s="10">
        <v>0.85248856231803705</v>
      </c>
      <c r="M152" s="10">
        <v>3.5555555555555597E-2</v>
      </c>
      <c r="N152" s="11">
        <v>1</v>
      </c>
      <c r="O152" s="11">
        <v>1</v>
      </c>
      <c r="P152" s="10">
        <v>0</v>
      </c>
      <c r="Q152" s="12">
        <v>67.932860428070001</v>
      </c>
    </row>
    <row r="153" spans="1:17" ht="30" x14ac:dyDescent="0.2">
      <c r="A153" s="6">
        <v>141</v>
      </c>
      <c r="B153" s="7" t="s">
        <v>451</v>
      </c>
      <c r="C153" s="6" t="s">
        <v>452</v>
      </c>
      <c r="D153" s="6" t="s">
        <v>36</v>
      </c>
      <c r="E153" s="6">
        <v>1989</v>
      </c>
      <c r="F153" s="7" t="s">
        <v>453</v>
      </c>
      <c r="G153" s="6" t="s">
        <v>38</v>
      </c>
      <c r="H153" s="8">
        <v>131.80000000000001</v>
      </c>
      <c r="I153" s="8">
        <v>126</v>
      </c>
      <c r="J153" s="9">
        <v>1.0460317460317501</v>
      </c>
      <c r="K153" s="10">
        <v>-0.15843253968254001</v>
      </c>
      <c r="L153" s="10">
        <v>0.42379583033788698</v>
      </c>
      <c r="M153" s="10">
        <v>0.14830508474576301</v>
      </c>
      <c r="N153" s="11">
        <v>0.7</v>
      </c>
      <c r="O153" s="11">
        <v>0.9</v>
      </c>
      <c r="P153" s="10">
        <v>0.183</v>
      </c>
      <c r="Q153" s="12">
        <v>67.797190279840507</v>
      </c>
    </row>
    <row r="154" spans="1:17" ht="30" x14ac:dyDescent="0.2">
      <c r="A154" s="6">
        <v>142</v>
      </c>
      <c r="B154" s="7" t="s">
        <v>454</v>
      </c>
      <c r="C154" s="6" t="s">
        <v>455</v>
      </c>
      <c r="D154" s="6" t="s">
        <v>27</v>
      </c>
      <c r="E154" s="6">
        <v>1986</v>
      </c>
      <c r="F154" s="7" t="s">
        <v>456</v>
      </c>
      <c r="G154" s="6" t="s">
        <v>38</v>
      </c>
      <c r="H154" s="8">
        <v>345.9</v>
      </c>
      <c r="I154" s="8">
        <v>68.099999999999994</v>
      </c>
      <c r="J154" s="9">
        <v>5.0792951541850204</v>
      </c>
      <c r="K154" s="10">
        <v>0.43135095447870803</v>
      </c>
      <c r="L154" s="10">
        <v>0.19317731059103499</v>
      </c>
      <c r="M154" s="10">
        <v>-0.14939024390243899</v>
      </c>
      <c r="N154" s="11">
        <v>1</v>
      </c>
      <c r="O154" s="11">
        <v>1</v>
      </c>
      <c r="P154" s="10">
        <v>0</v>
      </c>
      <c r="Q154" s="12">
        <v>67.790630199760997</v>
      </c>
    </row>
    <row r="155" spans="1:17" ht="30" x14ac:dyDescent="0.2">
      <c r="A155" s="6">
        <v>143</v>
      </c>
      <c r="B155" s="7" t="s">
        <v>457</v>
      </c>
      <c r="C155" s="6" t="s">
        <v>458</v>
      </c>
      <c r="D155" s="6" t="s">
        <v>36</v>
      </c>
      <c r="E155" s="6"/>
      <c r="F155" s="7" t="s">
        <v>459</v>
      </c>
      <c r="G155" s="6" t="s">
        <v>38</v>
      </c>
      <c r="H155" s="8">
        <v>1068.9000000000001</v>
      </c>
      <c r="I155" s="8">
        <v>507.5</v>
      </c>
      <c r="J155" s="9">
        <v>2.1062068965517202</v>
      </c>
      <c r="K155" s="10">
        <v>0.15172413793103501</v>
      </c>
      <c r="L155" s="10">
        <v>2.3023543990086699</v>
      </c>
      <c r="M155" s="10">
        <v>0.135730858468678</v>
      </c>
      <c r="N155" s="11">
        <v>0.6</v>
      </c>
      <c r="O155" s="11">
        <v>0.9</v>
      </c>
      <c r="P155" s="10">
        <v>0.2</v>
      </c>
      <c r="Q155" s="12">
        <v>67.7308566619744</v>
      </c>
    </row>
    <row r="156" spans="1:17" ht="45" x14ac:dyDescent="0.2">
      <c r="A156" s="6">
        <v>144</v>
      </c>
      <c r="B156" s="7" t="s">
        <v>460</v>
      </c>
      <c r="C156" s="6" t="s">
        <v>461</v>
      </c>
      <c r="D156" s="6" t="s">
        <v>27</v>
      </c>
      <c r="E156" s="6"/>
      <c r="F156" s="7" t="s">
        <v>462</v>
      </c>
      <c r="G156" s="6" t="s">
        <v>38</v>
      </c>
      <c r="H156" s="8">
        <v>618.70000000000005</v>
      </c>
      <c r="I156" s="8">
        <v>371.5</v>
      </c>
      <c r="J156" s="9">
        <v>1.6654104979811599</v>
      </c>
      <c r="K156" s="10">
        <v>0.13606998654104999</v>
      </c>
      <c r="L156" s="10">
        <v>0.61404761904761895</v>
      </c>
      <c r="M156" s="10">
        <v>2.6178010471204199E-2</v>
      </c>
      <c r="N156" s="11">
        <v>1</v>
      </c>
      <c r="O156" s="11">
        <v>1</v>
      </c>
      <c r="P156" s="10">
        <v>0</v>
      </c>
      <c r="Q156" s="12">
        <v>67.715069065804002</v>
      </c>
    </row>
    <row r="157" spans="1:17" ht="30" x14ac:dyDescent="0.2">
      <c r="A157" s="6">
        <v>145</v>
      </c>
      <c r="B157" s="7" t="s">
        <v>463</v>
      </c>
      <c r="C157" s="6" t="s">
        <v>464</v>
      </c>
      <c r="D157" s="6" t="s">
        <v>27</v>
      </c>
      <c r="E157" s="6">
        <v>1986</v>
      </c>
      <c r="F157" s="7" t="s">
        <v>465</v>
      </c>
      <c r="G157" s="6" t="s">
        <v>38</v>
      </c>
      <c r="H157" s="8">
        <v>1007</v>
      </c>
      <c r="I157" s="8">
        <v>370</v>
      </c>
      <c r="J157" s="9">
        <v>2.7216216216216198</v>
      </c>
      <c r="K157" s="10">
        <v>1.72905405405405</v>
      </c>
      <c r="L157" s="10">
        <v>0.20838894184938</v>
      </c>
      <c r="M157" s="10">
        <v>-0.26800847457627103</v>
      </c>
      <c r="N157" s="11">
        <v>0.6</v>
      </c>
      <c r="O157" s="11">
        <v>1</v>
      </c>
      <c r="P157" s="10">
        <v>0</v>
      </c>
      <c r="Q157" s="12">
        <v>67.664679359897207</v>
      </c>
    </row>
    <row r="158" spans="1:17" ht="45" x14ac:dyDescent="0.2">
      <c r="A158" s="6">
        <v>146</v>
      </c>
      <c r="B158" s="7" t="s">
        <v>466</v>
      </c>
      <c r="C158" s="6" t="s">
        <v>467</v>
      </c>
      <c r="D158" s="6" t="s">
        <v>27</v>
      </c>
      <c r="E158" s="6">
        <v>1967</v>
      </c>
      <c r="F158" s="7" t="s">
        <v>468</v>
      </c>
      <c r="G158" s="6" t="s">
        <v>38</v>
      </c>
      <c r="H158" s="8">
        <v>94.6</v>
      </c>
      <c r="I158" s="8">
        <v>60.7</v>
      </c>
      <c r="J158" s="9">
        <v>1.55848434925865</v>
      </c>
      <c r="K158" s="10">
        <v>0.146911037891269</v>
      </c>
      <c r="L158" s="10">
        <v>0.44192634560906502</v>
      </c>
      <c r="M158" s="10">
        <v>-0.18656716417910399</v>
      </c>
      <c r="N158" s="11">
        <v>1</v>
      </c>
      <c r="O158" s="11">
        <v>0.88888888888888895</v>
      </c>
      <c r="P158" s="10">
        <v>0</v>
      </c>
      <c r="Q158" s="12">
        <v>67.6119715476068</v>
      </c>
    </row>
    <row r="159" spans="1:17" ht="30" x14ac:dyDescent="0.2">
      <c r="A159" s="6">
        <v>147</v>
      </c>
      <c r="B159" s="7" t="s">
        <v>469</v>
      </c>
      <c r="C159" s="6" t="s">
        <v>470</v>
      </c>
      <c r="D159" s="6" t="s">
        <v>27</v>
      </c>
      <c r="E159" s="6">
        <v>1976</v>
      </c>
      <c r="F159" s="7" t="s">
        <v>471</v>
      </c>
      <c r="G159" s="6" t="s">
        <v>38</v>
      </c>
      <c r="H159" s="8">
        <v>250.1</v>
      </c>
      <c r="I159" s="8">
        <v>142.69999999999999</v>
      </c>
      <c r="J159" s="9">
        <v>1.7526278906797499</v>
      </c>
      <c r="K159" s="10">
        <v>7.3703573931324498E-2</v>
      </c>
      <c r="L159" s="10">
        <v>55.190476190476197</v>
      </c>
      <c r="M159" s="10">
        <v>2.1097046413502098E-2</v>
      </c>
      <c r="N159" s="11">
        <v>0.8</v>
      </c>
      <c r="O159" s="11">
        <v>0.6</v>
      </c>
      <c r="P159" s="10">
        <v>0.38</v>
      </c>
      <c r="Q159" s="12">
        <v>67.388495575221199</v>
      </c>
    </row>
    <row r="160" spans="1:17" ht="30" x14ac:dyDescent="0.2">
      <c r="A160" s="6">
        <v>148</v>
      </c>
      <c r="B160" s="7" t="s">
        <v>472</v>
      </c>
      <c r="C160" s="6" t="s">
        <v>473</v>
      </c>
      <c r="D160" s="6" t="s">
        <v>27</v>
      </c>
      <c r="E160" s="6">
        <v>1910</v>
      </c>
      <c r="F160" s="7" t="s">
        <v>474</v>
      </c>
      <c r="G160" s="6" t="s">
        <v>38</v>
      </c>
      <c r="H160" s="8">
        <v>754</v>
      </c>
      <c r="I160" s="8">
        <v>574.29999999999995</v>
      </c>
      <c r="J160" s="9">
        <v>1.3129026641128301</v>
      </c>
      <c r="K160" s="10">
        <v>0.11361657670207199</v>
      </c>
      <c r="L160" s="10">
        <v>0.32700183589888399</v>
      </c>
      <c r="M160" s="10">
        <v>-3.3175355450237101E-2</v>
      </c>
      <c r="N160" s="11">
        <v>1</v>
      </c>
      <c r="O160" s="11">
        <v>1</v>
      </c>
      <c r="P160" s="10">
        <v>0</v>
      </c>
      <c r="Q160" s="12">
        <v>67.352659272051795</v>
      </c>
    </row>
    <row r="161" spans="1:17" ht="30" x14ac:dyDescent="0.2">
      <c r="A161" s="6">
        <v>149</v>
      </c>
      <c r="B161" s="7" t="s">
        <v>475</v>
      </c>
      <c r="C161" s="6" t="s">
        <v>476</v>
      </c>
      <c r="D161" s="6" t="s">
        <v>27</v>
      </c>
      <c r="E161" s="6">
        <v>1908</v>
      </c>
      <c r="F161" s="7" t="s">
        <v>477</v>
      </c>
      <c r="G161" s="6" t="s">
        <v>38</v>
      </c>
      <c r="H161" s="8">
        <v>956.6</v>
      </c>
      <c r="I161" s="8">
        <v>430.8</v>
      </c>
      <c r="J161" s="9">
        <v>2.2205199628597998</v>
      </c>
      <c r="K161" s="10">
        <v>0.14235143918291601</v>
      </c>
      <c r="L161" s="10">
        <v>0.50302663438256701</v>
      </c>
      <c r="M161" s="10">
        <v>-2.8497409326424802E-2</v>
      </c>
      <c r="N161" s="11">
        <v>1</v>
      </c>
      <c r="O161" s="11">
        <v>1</v>
      </c>
      <c r="P161" s="10">
        <v>0</v>
      </c>
      <c r="Q161" s="12">
        <v>67.350217368854203</v>
      </c>
    </row>
    <row r="162" spans="1:17" ht="30" x14ac:dyDescent="0.2">
      <c r="A162" s="6">
        <v>150</v>
      </c>
      <c r="B162" s="7" t="s">
        <v>478</v>
      </c>
      <c r="C162" s="6" t="s">
        <v>479</v>
      </c>
      <c r="D162" s="6" t="s">
        <v>27</v>
      </c>
      <c r="E162" s="6">
        <v>1906</v>
      </c>
      <c r="F162" s="7" t="s">
        <v>480</v>
      </c>
      <c r="G162" s="6" t="s">
        <v>38</v>
      </c>
      <c r="H162" s="8">
        <v>575.20000000000005</v>
      </c>
      <c r="I162" s="8">
        <v>243</v>
      </c>
      <c r="J162" s="9">
        <v>2.3670781893004098</v>
      </c>
      <c r="K162" s="10">
        <v>0.12273662551440299</v>
      </c>
      <c r="L162" s="10">
        <v>0.64472640761300604</v>
      </c>
      <c r="M162" s="10">
        <v>-9.3959731543624206E-2</v>
      </c>
      <c r="N162" s="11">
        <v>1</v>
      </c>
      <c r="O162" s="11">
        <v>1</v>
      </c>
      <c r="P162" s="10">
        <v>0</v>
      </c>
      <c r="Q162" s="12">
        <v>67.158245782182505</v>
      </c>
    </row>
  </sheetData>
  <conditionalFormatting sqref="P13:P162">
    <cfRule type="colorScale" priority="1">
      <colorScale>
        <cfvo type="min"/>
        <cfvo type="percentile" val="50"/>
        <cfvo type="max"/>
        <color rgb="FFF8696B"/>
        <color rgb="FFFFEB84"/>
        <color rgb="FF63BE7B"/>
      </colorScale>
    </cfRule>
  </conditionalFormatting>
  <hyperlinks>
    <hyperlink ref="B6" r:id="rId1" location="'Investment%20Thesis'!A1" xr:uid="{00000000-0004-0000-0000-000000000000}"/>
    <hyperlink ref="B7" r:id="rId2" location="'Revenue%20History'!A1" xr:uid="{00000000-0004-0000-0000-000001000000}"/>
    <hyperlink ref="B8" r:id="rId3" location="'Shares%20Outstanding'!A1" xr:uid="{00000000-0004-0000-0000-000002000000}"/>
    <hyperlink ref="B9" r:id="rId4" location="'Net%20Income%20&amp;%20Debt'!A1" xr:uid="{00000000-0004-0000-0000-000003000000}"/>
    <hyperlink ref="B10" r:id="rId5" location="'Methodology'!A1" xr:uid="{00000000-0004-0000-0000-000004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154"/>
  <sheetViews>
    <sheetView tabSelected="1" zoomScaleNormal="100" workbookViewId="0">
      <pane xSplit="2" ySplit="4" topLeftCell="C145" activePane="bottomRight" state="frozen"/>
      <selection pane="topRight" activeCell="C1" sqref="C1"/>
      <selection pane="bottomLeft" activeCell="A5" sqref="A5"/>
      <selection pane="bottomRight" activeCell="B145" sqref="B145"/>
    </sheetView>
  </sheetViews>
  <sheetFormatPr baseColWidth="10" defaultColWidth="8.6640625" defaultRowHeight="15" customHeight="1" x14ac:dyDescent="0.2"/>
  <cols>
    <col min="1" max="1" width="5" customWidth="1"/>
    <col min="2" max="2" width="32" customWidth="1"/>
    <col min="3" max="3" width="14" customWidth="1"/>
    <col min="4" max="5" width="60" customWidth="1"/>
    <col min="6" max="6" width="50" customWidth="1"/>
    <col min="7" max="7" width="60" customWidth="1"/>
    <col min="8" max="8" width="25" customWidth="1"/>
  </cols>
  <sheetData>
    <row r="2" spans="1:8" ht="21" x14ac:dyDescent="0.25">
      <c r="B2" s="1" t="s">
        <v>481</v>
      </c>
    </row>
    <row r="4" spans="1:8" ht="27.75" customHeight="1" x14ac:dyDescent="0.2">
      <c r="A4" s="5" t="s">
        <v>8</v>
      </c>
      <c r="B4" s="5" t="s">
        <v>9</v>
      </c>
      <c r="C4" s="5" t="s">
        <v>10</v>
      </c>
      <c r="D4" s="5" t="s">
        <v>482</v>
      </c>
      <c r="E4" s="5" t="s">
        <v>483</v>
      </c>
      <c r="F4" s="5" t="s">
        <v>484</v>
      </c>
      <c r="G4" s="5" t="s">
        <v>485</v>
      </c>
      <c r="H4" s="5" t="s">
        <v>486</v>
      </c>
    </row>
    <row r="5" spans="1:8" ht="120" x14ac:dyDescent="0.2">
      <c r="A5" s="6">
        <v>1</v>
      </c>
      <c r="B5" s="7" t="s">
        <v>25</v>
      </c>
      <c r="C5" s="6" t="s">
        <v>26</v>
      </c>
      <c r="D5" s="7" t="s">
        <v>487</v>
      </c>
      <c r="E5" s="7" t="s">
        <v>488</v>
      </c>
      <c r="F5" s="7" t="s">
        <v>489</v>
      </c>
      <c r="G5" s="7" t="s">
        <v>490</v>
      </c>
      <c r="H5" s="4" t="s">
        <v>491</v>
      </c>
    </row>
    <row r="6" spans="1:8" ht="90" x14ac:dyDescent="0.2">
      <c r="A6" s="6">
        <v>2</v>
      </c>
      <c r="B6" s="7" t="s">
        <v>30</v>
      </c>
      <c r="C6" s="6" t="s">
        <v>31</v>
      </c>
      <c r="D6" s="7" t="s">
        <v>492</v>
      </c>
      <c r="E6" s="7" t="s">
        <v>493</v>
      </c>
      <c r="F6" s="7" t="s">
        <v>489</v>
      </c>
      <c r="G6" s="7" t="s">
        <v>494</v>
      </c>
      <c r="H6" s="4" t="s">
        <v>495</v>
      </c>
    </row>
    <row r="7" spans="1:8" ht="105" x14ac:dyDescent="0.2">
      <c r="A7" s="6">
        <v>3</v>
      </c>
      <c r="B7" s="7" t="s">
        <v>34</v>
      </c>
      <c r="C7" s="6" t="s">
        <v>35</v>
      </c>
      <c r="D7" s="7" t="s">
        <v>496</v>
      </c>
      <c r="E7" s="7" t="s">
        <v>497</v>
      </c>
      <c r="F7" s="7" t="s">
        <v>489</v>
      </c>
      <c r="G7" s="7" t="s">
        <v>498</v>
      </c>
      <c r="H7" s="4" t="s">
        <v>499</v>
      </c>
    </row>
    <row r="8" spans="1:8" ht="135" x14ac:dyDescent="0.2">
      <c r="A8" s="6">
        <v>4</v>
      </c>
      <c r="B8" s="7" t="s">
        <v>39</v>
      </c>
      <c r="C8" s="6" t="s">
        <v>40</v>
      </c>
      <c r="D8" s="7" t="s">
        <v>500</v>
      </c>
      <c r="E8" s="7" t="s">
        <v>501</v>
      </c>
      <c r="F8" s="7" t="s">
        <v>502</v>
      </c>
      <c r="G8" s="7" t="s">
        <v>503</v>
      </c>
      <c r="H8" s="4" t="s">
        <v>504</v>
      </c>
    </row>
    <row r="9" spans="1:8" ht="120" x14ac:dyDescent="0.2">
      <c r="A9" s="6">
        <v>5</v>
      </c>
      <c r="B9" s="7" t="s">
        <v>42</v>
      </c>
      <c r="C9" s="6" t="s">
        <v>43</v>
      </c>
      <c r="D9" s="7" t="s">
        <v>505</v>
      </c>
      <c r="E9" s="7" t="s">
        <v>506</v>
      </c>
      <c r="F9" s="7" t="s">
        <v>489</v>
      </c>
      <c r="G9" s="7" t="s">
        <v>507</v>
      </c>
      <c r="H9" s="4" t="s">
        <v>508</v>
      </c>
    </row>
    <row r="10" spans="1:8" ht="135" x14ac:dyDescent="0.2">
      <c r="A10" s="6">
        <v>6</v>
      </c>
      <c r="B10" s="7" t="s">
        <v>45</v>
      </c>
      <c r="C10" s="6" t="s">
        <v>46</v>
      </c>
      <c r="D10" s="7" t="s">
        <v>509</v>
      </c>
      <c r="E10" s="7" t="s">
        <v>510</v>
      </c>
      <c r="F10" s="7" t="s">
        <v>489</v>
      </c>
      <c r="G10" s="7" t="s">
        <v>511</v>
      </c>
      <c r="H10" s="4" t="s">
        <v>512</v>
      </c>
    </row>
    <row r="11" spans="1:8" ht="150" x14ac:dyDescent="0.2">
      <c r="A11" s="6">
        <v>7</v>
      </c>
      <c r="B11" s="7" t="s">
        <v>48</v>
      </c>
      <c r="C11" s="6" t="s">
        <v>49</v>
      </c>
      <c r="D11" s="7" t="s">
        <v>513</v>
      </c>
      <c r="E11" s="7" t="s">
        <v>514</v>
      </c>
      <c r="F11" s="7" t="s">
        <v>489</v>
      </c>
      <c r="G11" s="7" t="s">
        <v>515</v>
      </c>
      <c r="H11" s="4" t="s">
        <v>516</v>
      </c>
    </row>
    <row r="12" spans="1:8" ht="105" x14ac:dyDescent="0.2">
      <c r="A12" s="6">
        <v>8</v>
      </c>
      <c r="B12" s="7" t="s">
        <v>51</v>
      </c>
      <c r="C12" s="6" t="s">
        <v>52</v>
      </c>
      <c r="D12" s="7" t="s">
        <v>517</v>
      </c>
      <c r="E12" s="7" t="s">
        <v>518</v>
      </c>
      <c r="F12" s="7" t="s">
        <v>489</v>
      </c>
      <c r="G12" s="7" t="s">
        <v>519</v>
      </c>
      <c r="H12" s="4" t="s">
        <v>520</v>
      </c>
    </row>
    <row r="13" spans="1:8" ht="105" x14ac:dyDescent="0.2">
      <c r="A13" s="6">
        <v>9</v>
      </c>
      <c r="B13" s="7" t="s">
        <v>55</v>
      </c>
      <c r="C13" s="6" t="s">
        <v>56</v>
      </c>
      <c r="D13" s="7" t="s">
        <v>521</v>
      </c>
      <c r="E13" s="7" t="s">
        <v>522</v>
      </c>
      <c r="F13" s="7" t="s">
        <v>489</v>
      </c>
      <c r="G13" s="7" t="s">
        <v>523</v>
      </c>
      <c r="H13" s="4" t="s">
        <v>524</v>
      </c>
    </row>
    <row r="14" spans="1:8" ht="90" x14ac:dyDescent="0.2">
      <c r="A14" s="6">
        <v>10</v>
      </c>
      <c r="B14" s="7" t="s">
        <v>58</v>
      </c>
      <c r="C14" s="6" t="s">
        <v>59</v>
      </c>
      <c r="D14" s="7" t="s">
        <v>525</v>
      </c>
      <c r="E14" s="7" t="s">
        <v>526</v>
      </c>
      <c r="F14" s="7" t="s">
        <v>527</v>
      </c>
      <c r="G14" s="7" t="s">
        <v>528</v>
      </c>
      <c r="H14" s="4" t="s">
        <v>529</v>
      </c>
    </row>
    <row r="15" spans="1:8" ht="105" x14ac:dyDescent="0.2">
      <c r="A15" s="6">
        <v>11</v>
      </c>
      <c r="B15" s="7" t="s">
        <v>61</v>
      </c>
      <c r="C15" s="6" t="s">
        <v>62</v>
      </c>
      <c r="D15" s="7" t="s">
        <v>530</v>
      </c>
      <c r="E15" s="7" t="s">
        <v>531</v>
      </c>
      <c r="F15" s="7" t="s">
        <v>489</v>
      </c>
      <c r="G15" s="7" t="s">
        <v>532</v>
      </c>
      <c r="H15" s="4" t="s">
        <v>533</v>
      </c>
    </row>
    <row r="16" spans="1:8" ht="105" x14ac:dyDescent="0.2">
      <c r="A16" s="6">
        <v>12</v>
      </c>
      <c r="B16" s="7" t="s">
        <v>64</v>
      </c>
      <c r="C16" s="6" t="s">
        <v>65</v>
      </c>
      <c r="D16" s="7" t="s">
        <v>534</v>
      </c>
      <c r="E16" s="7" t="s">
        <v>535</v>
      </c>
      <c r="F16" s="7" t="s">
        <v>489</v>
      </c>
      <c r="G16" s="7" t="s">
        <v>498</v>
      </c>
      <c r="H16" s="4" t="s">
        <v>536</v>
      </c>
    </row>
    <row r="17" spans="1:8" ht="105" x14ac:dyDescent="0.2">
      <c r="A17" s="6">
        <v>13</v>
      </c>
      <c r="B17" s="7" t="s">
        <v>67</v>
      </c>
      <c r="C17" s="6" t="s">
        <v>68</v>
      </c>
      <c r="D17" s="7" t="s">
        <v>537</v>
      </c>
      <c r="E17" s="7" t="s">
        <v>538</v>
      </c>
      <c r="F17" s="7" t="s">
        <v>489</v>
      </c>
      <c r="G17" s="7" t="s">
        <v>539</v>
      </c>
      <c r="H17" s="4" t="s">
        <v>540</v>
      </c>
    </row>
    <row r="18" spans="1:8" ht="135" x14ac:dyDescent="0.2">
      <c r="A18" s="6">
        <v>14</v>
      </c>
      <c r="B18" s="7" t="s">
        <v>70</v>
      </c>
      <c r="C18" s="6" t="s">
        <v>71</v>
      </c>
      <c r="D18" s="7" t="s">
        <v>541</v>
      </c>
      <c r="E18" s="7" t="s">
        <v>542</v>
      </c>
      <c r="F18" s="7" t="s">
        <v>543</v>
      </c>
      <c r="G18" s="7" t="s">
        <v>544</v>
      </c>
      <c r="H18" s="4" t="s">
        <v>545</v>
      </c>
    </row>
    <row r="19" spans="1:8" ht="90" x14ac:dyDescent="0.2">
      <c r="A19" s="6">
        <v>15</v>
      </c>
      <c r="B19" s="7" t="s">
        <v>73</v>
      </c>
      <c r="C19" s="6" t="s">
        <v>74</v>
      </c>
      <c r="D19" s="7" t="s">
        <v>546</v>
      </c>
      <c r="E19" s="7" t="s">
        <v>547</v>
      </c>
      <c r="F19" s="7" t="s">
        <v>489</v>
      </c>
      <c r="G19" s="7" t="s">
        <v>548</v>
      </c>
      <c r="H19" s="4" t="s">
        <v>549</v>
      </c>
    </row>
    <row r="20" spans="1:8" ht="75" x14ac:dyDescent="0.2">
      <c r="A20" s="6">
        <v>16</v>
      </c>
      <c r="B20" s="7" t="s">
        <v>76</v>
      </c>
      <c r="C20" s="6" t="s">
        <v>77</v>
      </c>
      <c r="D20" s="7" t="s">
        <v>550</v>
      </c>
      <c r="E20" s="7" t="s">
        <v>551</v>
      </c>
      <c r="F20" s="7" t="s">
        <v>489</v>
      </c>
      <c r="G20" s="7" t="s">
        <v>498</v>
      </c>
      <c r="H20" s="4" t="s">
        <v>552</v>
      </c>
    </row>
    <row r="21" spans="1:8" ht="105" x14ac:dyDescent="0.2">
      <c r="A21" s="6">
        <v>17</v>
      </c>
      <c r="B21" s="7" t="s">
        <v>79</v>
      </c>
      <c r="C21" s="6" t="s">
        <v>80</v>
      </c>
      <c r="D21" s="7" t="s">
        <v>553</v>
      </c>
      <c r="E21" s="7" t="s">
        <v>554</v>
      </c>
      <c r="F21" s="7" t="s">
        <v>489</v>
      </c>
      <c r="G21" s="7" t="s">
        <v>555</v>
      </c>
      <c r="H21" s="4" t="s">
        <v>556</v>
      </c>
    </row>
    <row r="22" spans="1:8" ht="120" x14ac:dyDescent="0.2">
      <c r="A22" s="6">
        <v>18</v>
      </c>
      <c r="B22" s="7" t="s">
        <v>82</v>
      </c>
      <c r="C22" s="6" t="s">
        <v>83</v>
      </c>
      <c r="D22" s="7" t="s">
        <v>557</v>
      </c>
      <c r="E22" s="7" t="s">
        <v>558</v>
      </c>
      <c r="F22" s="7" t="s">
        <v>559</v>
      </c>
      <c r="G22" s="7" t="s">
        <v>560</v>
      </c>
      <c r="H22" s="4" t="s">
        <v>561</v>
      </c>
    </row>
    <row r="23" spans="1:8" ht="105" x14ac:dyDescent="0.2">
      <c r="A23" s="6">
        <v>19</v>
      </c>
      <c r="B23" s="7" t="s">
        <v>85</v>
      </c>
      <c r="C23" s="6" t="s">
        <v>86</v>
      </c>
      <c r="D23" s="7" t="s">
        <v>562</v>
      </c>
      <c r="E23" s="7" t="s">
        <v>563</v>
      </c>
      <c r="F23" s="7" t="s">
        <v>489</v>
      </c>
      <c r="G23" s="7" t="s">
        <v>564</v>
      </c>
      <c r="H23" s="4" t="s">
        <v>565</v>
      </c>
    </row>
    <row r="24" spans="1:8" ht="195" x14ac:dyDescent="0.2">
      <c r="A24" s="6">
        <v>20</v>
      </c>
      <c r="B24" s="7" t="s">
        <v>88</v>
      </c>
      <c r="C24" s="6" t="s">
        <v>89</v>
      </c>
      <c r="D24" s="7" t="s">
        <v>566</v>
      </c>
      <c r="E24" s="7" t="s">
        <v>567</v>
      </c>
      <c r="F24" s="7" t="s">
        <v>489</v>
      </c>
      <c r="G24" s="7" t="s">
        <v>568</v>
      </c>
      <c r="H24" s="4" t="s">
        <v>569</v>
      </c>
    </row>
    <row r="25" spans="1:8" ht="90" x14ac:dyDescent="0.2">
      <c r="A25" s="6">
        <v>21</v>
      </c>
      <c r="B25" s="7" t="s">
        <v>91</v>
      </c>
      <c r="C25" s="6" t="s">
        <v>92</v>
      </c>
      <c r="D25" s="7" t="s">
        <v>570</v>
      </c>
      <c r="E25" s="7" t="s">
        <v>571</v>
      </c>
      <c r="F25" s="7" t="s">
        <v>489</v>
      </c>
      <c r="G25" s="7" t="s">
        <v>572</v>
      </c>
      <c r="H25" s="4" t="s">
        <v>573</v>
      </c>
    </row>
    <row r="26" spans="1:8" ht="135" x14ac:dyDescent="0.2">
      <c r="A26" s="6">
        <v>22</v>
      </c>
      <c r="B26" s="7" t="s">
        <v>94</v>
      </c>
      <c r="C26" s="6" t="s">
        <v>95</v>
      </c>
      <c r="D26" s="7" t="s">
        <v>574</v>
      </c>
      <c r="E26" s="7" t="s">
        <v>575</v>
      </c>
      <c r="F26" s="7" t="s">
        <v>489</v>
      </c>
      <c r="G26" s="7" t="s">
        <v>498</v>
      </c>
      <c r="H26" s="4" t="s">
        <v>576</v>
      </c>
    </row>
    <row r="27" spans="1:8" ht="150" x14ac:dyDescent="0.2">
      <c r="A27" s="6">
        <v>23</v>
      </c>
      <c r="B27" s="7" t="s">
        <v>97</v>
      </c>
      <c r="C27" s="6" t="s">
        <v>98</v>
      </c>
      <c r="D27" s="7" t="s">
        <v>577</v>
      </c>
      <c r="E27" s="7" t="s">
        <v>578</v>
      </c>
      <c r="F27" s="7" t="s">
        <v>579</v>
      </c>
      <c r="G27" s="7" t="s">
        <v>580</v>
      </c>
      <c r="H27" s="4" t="s">
        <v>581</v>
      </c>
    </row>
    <row r="28" spans="1:8" ht="105" x14ac:dyDescent="0.2">
      <c r="A28" s="6">
        <v>24</v>
      </c>
      <c r="B28" s="7" t="s">
        <v>100</v>
      </c>
      <c r="C28" s="6" t="s">
        <v>101</v>
      </c>
      <c r="D28" s="7" t="s">
        <v>582</v>
      </c>
      <c r="E28" s="7" t="s">
        <v>583</v>
      </c>
      <c r="F28" s="7" t="s">
        <v>489</v>
      </c>
      <c r="G28" s="7" t="s">
        <v>584</v>
      </c>
      <c r="H28" s="4" t="s">
        <v>585</v>
      </c>
    </row>
    <row r="29" spans="1:8" ht="90" x14ac:dyDescent="0.2">
      <c r="A29" s="6">
        <v>25</v>
      </c>
      <c r="B29" s="7" t="s">
        <v>103</v>
      </c>
      <c r="C29" s="6" t="s">
        <v>104</v>
      </c>
      <c r="D29" s="7" t="s">
        <v>586</v>
      </c>
      <c r="E29" s="7" t="s">
        <v>587</v>
      </c>
      <c r="F29" s="7" t="s">
        <v>489</v>
      </c>
      <c r="G29" s="7" t="s">
        <v>588</v>
      </c>
      <c r="H29" s="4" t="s">
        <v>589</v>
      </c>
    </row>
    <row r="30" spans="1:8" ht="165" x14ac:dyDescent="0.2">
      <c r="A30" s="6">
        <v>26</v>
      </c>
      <c r="B30" s="7" t="s">
        <v>106</v>
      </c>
      <c r="C30" s="6" t="s">
        <v>107</v>
      </c>
      <c r="D30" s="7" t="s">
        <v>590</v>
      </c>
      <c r="E30" s="7" t="s">
        <v>591</v>
      </c>
      <c r="F30" s="7" t="s">
        <v>489</v>
      </c>
      <c r="G30" s="7" t="s">
        <v>592</v>
      </c>
      <c r="H30" s="4" t="s">
        <v>593</v>
      </c>
    </row>
    <row r="31" spans="1:8" ht="135" x14ac:dyDescent="0.2">
      <c r="A31" s="6">
        <v>27</v>
      </c>
      <c r="B31" s="7" t="s">
        <v>109</v>
      </c>
      <c r="C31" s="6" t="s">
        <v>110</v>
      </c>
      <c r="D31" s="7" t="s">
        <v>594</v>
      </c>
      <c r="E31" s="7" t="s">
        <v>595</v>
      </c>
      <c r="F31" s="7" t="s">
        <v>489</v>
      </c>
      <c r="G31" s="7" t="s">
        <v>596</v>
      </c>
      <c r="H31" s="4" t="s">
        <v>597</v>
      </c>
    </row>
    <row r="32" spans="1:8" ht="150" x14ac:dyDescent="0.2">
      <c r="A32" s="6">
        <v>28</v>
      </c>
      <c r="B32" s="7" t="s">
        <v>112</v>
      </c>
      <c r="C32" s="6" t="s">
        <v>113</v>
      </c>
      <c r="D32" s="7" t="s">
        <v>598</v>
      </c>
      <c r="E32" s="7" t="s">
        <v>599</v>
      </c>
      <c r="F32" s="7" t="s">
        <v>489</v>
      </c>
      <c r="G32" s="7" t="s">
        <v>600</v>
      </c>
      <c r="H32" s="4" t="s">
        <v>601</v>
      </c>
    </row>
    <row r="33" spans="1:8" ht="90" x14ac:dyDescent="0.2">
      <c r="A33" s="6">
        <v>29</v>
      </c>
      <c r="B33" s="7" t="s">
        <v>115</v>
      </c>
      <c r="C33" s="6" t="s">
        <v>116</v>
      </c>
      <c r="D33" s="7" t="s">
        <v>602</v>
      </c>
      <c r="E33" s="7" t="s">
        <v>603</v>
      </c>
      <c r="F33" s="7" t="s">
        <v>489</v>
      </c>
      <c r="G33" s="7" t="s">
        <v>498</v>
      </c>
      <c r="H33" s="4" t="s">
        <v>604</v>
      </c>
    </row>
    <row r="34" spans="1:8" ht="120" x14ac:dyDescent="0.2">
      <c r="A34" s="6">
        <v>30</v>
      </c>
      <c r="B34" s="7" t="s">
        <v>118</v>
      </c>
      <c r="C34" s="6" t="s">
        <v>119</v>
      </c>
      <c r="D34" s="7" t="s">
        <v>605</v>
      </c>
      <c r="E34" s="7" t="s">
        <v>606</v>
      </c>
      <c r="F34" s="7" t="s">
        <v>607</v>
      </c>
      <c r="G34" s="7" t="s">
        <v>608</v>
      </c>
      <c r="H34" s="4" t="s">
        <v>609</v>
      </c>
    </row>
    <row r="35" spans="1:8" ht="135" x14ac:dyDescent="0.2">
      <c r="A35" s="6">
        <v>31</v>
      </c>
      <c r="B35" s="7" t="s">
        <v>121</v>
      </c>
      <c r="C35" s="6" t="s">
        <v>122</v>
      </c>
      <c r="D35" s="7" t="s">
        <v>610</v>
      </c>
      <c r="E35" s="7" t="s">
        <v>611</v>
      </c>
      <c r="F35" s="7" t="s">
        <v>612</v>
      </c>
      <c r="G35" s="7" t="s">
        <v>613</v>
      </c>
      <c r="H35" s="4" t="s">
        <v>614</v>
      </c>
    </row>
    <row r="36" spans="1:8" ht="135" x14ac:dyDescent="0.2">
      <c r="A36" s="6">
        <v>32</v>
      </c>
      <c r="B36" s="7" t="s">
        <v>124</v>
      </c>
      <c r="C36" s="6" t="s">
        <v>125</v>
      </c>
      <c r="D36" s="7" t="s">
        <v>615</v>
      </c>
      <c r="E36" s="7" t="s">
        <v>616</v>
      </c>
      <c r="F36" s="7" t="s">
        <v>617</v>
      </c>
      <c r="G36" s="7" t="s">
        <v>618</v>
      </c>
      <c r="H36" s="4" t="s">
        <v>619</v>
      </c>
    </row>
    <row r="37" spans="1:8" ht="90" x14ac:dyDescent="0.2">
      <c r="A37" s="6">
        <v>33</v>
      </c>
      <c r="B37" s="7" t="s">
        <v>127</v>
      </c>
      <c r="C37" s="6" t="s">
        <v>128</v>
      </c>
      <c r="D37" s="7" t="s">
        <v>620</v>
      </c>
      <c r="E37" s="7" t="s">
        <v>621</v>
      </c>
      <c r="F37" s="7" t="s">
        <v>489</v>
      </c>
      <c r="G37" s="7" t="s">
        <v>622</v>
      </c>
      <c r="H37" s="4" t="s">
        <v>623</v>
      </c>
    </row>
    <row r="38" spans="1:8" ht="90" x14ac:dyDescent="0.2">
      <c r="A38" s="6">
        <v>34</v>
      </c>
      <c r="B38" s="7" t="s">
        <v>130</v>
      </c>
      <c r="C38" s="6" t="s">
        <v>131</v>
      </c>
      <c r="D38" s="7" t="s">
        <v>624</v>
      </c>
      <c r="E38" s="7" t="s">
        <v>625</v>
      </c>
      <c r="F38" s="7" t="s">
        <v>489</v>
      </c>
      <c r="G38" s="7" t="s">
        <v>626</v>
      </c>
      <c r="H38" s="4" t="s">
        <v>627</v>
      </c>
    </row>
    <row r="39" spans="1:8" ht="90" x14ac:dyDescent="0.2">
      <c r="A39" s="6">
        <v>35</v>
      </c>
      <c r="B39" s="7" t="s">
        <v>133</v>
      </c>
      <c r="C39" s="6" t="s">
        <v>134</v>
      </c>
      <c r="D39" s="7" t="s">
        <v>628</v>
      </c>
      <c r="E39" s="7" t="s">
        <v>629</v>
      </c>
      <c r="F39" s="7" t="s">
        <v>489</v>
      </c>
      <c r="G39" s="7" t="s">
        <v>630</v>
      </c>
      <c r="H39" s="4" t="s">
        <v>631</v>
      </c>
    </row>
    <row r="40" spans="1:8" ht="105" x14ac:dyDescent="0.2">
      <c r="A40" s="6">
        <v>36</v>
      </c>
      <c r="B40" s="7" t="s">
        <v>136</v>
      </c>
      <c r="C40" s="6" t="s">
        <v>137</v>
      </c>
      <c r="D40" s="7" t="s">
        <v>632</v>
      </c>
      <c r="E40" s="7" t="s">
        <v>633</v>
      </c>
      <c r="F40" s="7" t="s">
        <v>489</v>
      </c>
      <c r="G40" s="7" t="s">
        <v>634</v>
      </c>
      <c r="H40" s="4" t="s">
        <v>635</v>
      </c>
    </row>
    <row r="41" spans="1:8" ht="135" x14ac:dyDescent="0.2">
      <c r="A41" s="6">
        <v>37</v>
      </c>
      <c r="B41" s="7" t="s">
        <v>139</v>
      </c>
      <c r="C41" s="6" t="s">
        <v>140</v>
      </c>
      <c r="D41" s="7" t="s">
        <v>636</v>
      </c>
      <c r="E41" s="7" t="s">
        <v>637</v>
      </c>
      <c r="F41" s="7" t="s">
        <v>489</v>
      </c>
      <c r="G41" s="7" t="s">
        <v>638</v>
      </c>
      <c r="H41" s="4" t="s">
        <v>639</v>
      </c>
    </row>
    <row r="42" spans="1:8" ht="150" x14ac:dyDescent="0.2">
      <c r="A42" s="6">
        <v>38</v>
      </c>
      <c r="B42" s="7" t="s">
        <v>142</v>
      </c>
      <c r="C42" s="6" t="s">
        <v>143</v>
      </c>
      <c r="D42" s="7" t="s">
        <v>640</v>
      </c>
      <c r="E42" s="7" t="s">
        <v>641</v>
      </c>
      <c r="F42" s="7" t="s">
        <v>489</v>
      </c>
      <c r="G42" s="7" t="s">
        <v>642</v>
      </c>
      <c r="H42" s="4" t="s">
        <v>643</v>
      </c>
    </row>
    <row r="43" spans="1:8" ht="105" x14ac:dyDescent="0.2">
      <c r="A43" s="6">
        <v>39</v>
      </c>
      <c r="B43" s="7" t="s">
        <v>145</v>
      </c>
      <c r="C43" s="6" t="s">
        <v>146</v>
      </c>
      <c r="D43" s="7" t="s">
        <v>644</v>
      </c>
      <c r="E43" s="7" t="s">
        <v>645</v>
      </c>
      <c r="F43" s="7" t="s">
        <v>489</v>
      </c>
      <c r="G43" s="7" t="s">
        <v>646</v>
      </c>
      <c r="H43" s="4" t="s">
        <v>647</v>
      </c>
    </row>
    <row r="44" spans="1:8" ht="135" x14ac:dyDescent="0.2">
      <c r="A44" s="6">
        <v>40</v>
      </c>
      <c r="B44" s="7" t="s">
        <v>148</v>
      </c>
      <c r="C44" s="6" t="s">
        <v>149</v>
      </c>
      <c r="D44" s="7" t="s">
        <v>648</v>
      </c>
      <c r="E44" s="7" t="s">
        <v>649</v>
      </c>
      <c r="F44" s="7" t="s">
        <v>489</v>
      </c>
      <c r="G44" s="7" t="s">
        <v>650</v>
      </c>
      <c r="H44" s="4" t="s">
        <v>651</v>
      </c>
    </row>
    <row r="45" spans="1:8" ht="165" x14ac:dyDescent="0.2">
      <c r="A45" s="6">
        <v>41</v>
      </c>
      <c r="B45" s="7" t="s">
        <v>151</v>
      </c>
      <c r="C45" s="6" t="s">
        <v>152</v>
      </c>
      <c r="D45" s="7" t="s">
        <v>652</v>
      </c>
      <c r="E45" s="7" t="s">
        <v>653</v>
      </c>
      <c r="F45" s="7" t="s">
        <v>654</v>
      </c>
      <c r="G45" s="7" t="s">
        <v>655</v>
      </c>
      <c r="H45" s="4" t="s">
        <v>656</v>
      </c>
    </row>
    <row r="46" spans="1:8" ht="105" x14ac:dyDescent="0.2">
      <c r="A46" s="6">
        <v>42</v>
      </c>
      <c r="B46" s="7" t="s">
        <v>154</v>
      </c>
      <c r="C46" s="6" t="s">
        <v>155</v>
      </c>
      <c r="D46" s="7" t="s">
        <v>657</v>
      </c>
      <c r="E46" s="7" t="s">
        <v>658</v>
      </c>
      <c r="F46" s="7" t="s">
        <v>489</v>
      </c>
      <c r="G46" s="7" t="s">
        <v>659</v>
      </c>
      <c r="H46" s="4" t="s">
        <v>660</v>
      </c>
    </row>
    <row r="47" spans="1:8" ht="90" x14ac:dyDescent="0.2">
      <c r="A47" s="6">
        <v>43</v>
      </c>
      <c r="B47" s="7" t="s">
        <v>157</v>
      </c>
      <c r="C47" s="6" t="s">
        <v>158</v>
      </c>
      <c r="D47" s="7" t="s">
        <v>661</v>
      </c>
      <c r="E47" s="7" t="s">
        <v>662</v>
      </c>
      <c r="F47" s="7" t="s">
        <v>489</v>
      </c>
      <c r="G47" s="7" t="s">
        <v>663</v>
      </c>
      <c r="H47" s="4" t="s">
        <v>664</v>
      </c>
    </row>
    <row r="48" spans="1:8" ht="105" x14ac:dyDescent="0.2">
      <c r="A48" s="6">
        <v>44</v>
      </c>
      <c r="B48" s="7" t="s">
        <v>160</v>
      </c>
      <c r="C48" s="6" t="s">
        <v>161</v>
      </c>
      <c r="D48" s="7" t="s">
        <v>665</v>
      </c>
      <c r="E48" s="7" t="s">
        <v>666</v>
      </c>
      <c r="F48" s="7" t="s">
        <v>489</v>
      </c>
      <c r="G48" s="7" t="s">
        <v>667</v>
      </c>
      <c r="H48" s="4" t="s">
        <v>668</v>
      </c>
    </row>
    <row r="49" spans="1:8" ht="75" x14ac:dyDescent="0.2">
      <c r="A49" s="6">
        <v>45</v>
      </c>
      <c r="B49" s="7" t="s">
        <v>163</v>
      </c>
      <c r="C49" s="6" t="s">
        <v>164</v>
      </c>
      <c r="D49" s="7" t="s">
        <v>669</v>
      </c>
      <c r="E49" s="7" t="s">
        <v>670</v>
      </c>
      <c r="F49" s="7" t="s">
        <v>489</v>
      </c>
      <c r="G49" s="7" t="s">
        <v>671</v>
      </c>
      <c r="H49" s="4" t="s">
        <v>672</v>
      </c>
    </row>
    <row r="50" spans="1:8" ht="105" x14ac:dyDescent="0.2">
      <c r="A50" s="6">
        <v>46</v>
      </c>
      <c r="B50" s="7" t="s">
        <v>166</v>
      </c>
      <c r="C50" s="6" t="s">
        <v>167</v>
      </c>
      <c r="D50" s="7" t="s">
        <v>673</v>
      </c>
      <c r="E50" s="7" t="s">
        <v>674</v>
      </c>
      <c r="F50" s="7" t="s">
        <v>489</v>
      </c>
      <c r="G50" s="7" t="s">
        <v>675</v>
      </c>
      <c r="H50" s="4" t="s">
        <v>676</v>
      </c>
    </row>
    <row r="51" spans="1:8" ht="195" x14ac:dyDescent="0.2">
      <c r="A51" s="6">
        <v>47</v>
      </c>
      <c r="B51" s="7" t="s">
        <v>169</v>
      </c>
      <c r="C51" s="6" t="s">
        <v>170</v>
      </c>
      <c r="D51" s="7" t="s">
        <v>677</v>
      </c>
      <c r="E51" s="7" t="s">
        <v>678</v>
      </c>
      <c r="F51" s="7" t="s">
        <v>679</v>
      </c>
      <c r="G51" s="7" t="s">
        <v>680</v>
      </c>
      <c r="H51" s="4" t="s">
        <v>681</v>
      </c>
    </row>
    <row r="52" spans="1:8" ht="90" x14ac:dyDescent="0.2">
      <c r="A52" s="6">
        <v>48</v>
      </c>
      <c r="B52" s="7" t="s">
        <v>172</v>
      </c>
      <c r="C52" s="6" t="s">
        <v>173</v>
      </c>
      <c r="D52" s="7" t="s">
        <v>682</v>
      </c>
      <c r="E52" s="7" t="s">
        <v>683</v>
      </c>
      <c r="F52" s="7" t="s">
        <v>489</v>
      </c>
      <c r="G52" s="7" t="s">
        <v>684</v>
      </c>
      <c r="H52" s="4" t="s">
        <v>685</v>
      </c>
    </row>
    <row r="53" spans="1:8" ht="105" x14ac:dyDescent="0.2">
      <c r="A53" s="6">
        <v>49</v>
      </c>
      <c r="B53" s="7" t="s">
        <v>175</v>
      </c>
      <c r="C53" s="6" t="s">
        <v>176</v>
      </c>
      <c r="D53" s="7" t="s">
        <v>686</v>
      </c>
      <c r="E53" s="7" t="s">
        <v>687</v>
      </c>
      <c r="F53" s="7" t="s">
        <v>489</v>
      </c>
      <c r="G53" s="7" t="s">
        <v>688</v>
      </c>
      <c r="H53" s="4" t="s">
        <v>689</v>
      </c>
    </row>
    <row r="54" spans="1:8" ht="135" x14ac:dyDescent="0.2">
      <c r="A54" s="6">
        <v>50</v>
      </c>
      <c r="B54" s="7" t="s">
        <v>178</v>
      </c>
      <c r="C54" s="6" t="s">
        <v>179</v>
      </c>
      <c r="D54" s="7" t="s">
        <v>690</v>
      </c>
      <c r="E54" s="7" t="s">
        <v>691</v>
      </c>
      <c r="F54" s="7" t="s">
        <v>489</v>
      </c>
      <c r="G54" s="7" t="s">
        <v>692</v>
      </c>
      <c r="H54" s="4" t="s">
        <v>693</v>
      </c>
    </row>
    <row r="55" spans="1:8" ht="105" x14ac:dyDescent="0.2">
      <c r="A55" s="6">
        <v>51</v>
      </c>
      <c r="B55" s="7" t="s">
        <v>181</v>
      </c>
      <c r="C55" s="6" t="s">
        <v>182</v>
      </c>
      <c r="D55" s="7" t="s">
        <v>694</v>
      </c>
      <c r="E55" s="7" t="s">
        <v>695</v>
      </c>
      <c r="F55" s="7" t="s">
        <v>696</v>
      </c>
      <c r="G55" s="7" t="s">
        <v>697</v>
      </c>
      <c r="H55" s="4" t="s">
        <v>698</v>
      </c>
    </row>
    <row r="56" spans="1:8" ht="105" x14ac:dyDescent="0.2">
      <c r="A56" s="6">
        <v>52</v>
      </c>
      <c r="B56" s="7" t="s">
        <v>184</v>
      </c>
      <c r="C56" s="6" t="s">
        <v>185</v>
      </c>
      <c r="D56" s="7" t="s">
        <v>699</v>
      </c>
      <c r="E56" s="7" t="s">
        <v>700</v>
      </c>
      <c r="F56" s="7" t="s">
        <v>489</v>
      </c>
      <c r="G56" s="7" t="s">
        <v>498</v>
      </c>
      <c r="H56" s="4" t="s">
        <v>701</v>
      </c>
    </row>
    <row r="57" spans="1:8" ht="150" x14ac:dyDescent="0.2">
      <c r="A57" s="6">
        <v>53</v>
      </c>
      <c r="B57" s="7" t="s">
        <v>187</v>
      </c>
      <c r="C57" s="6" t="s">
        <v>188</v>
      </c>
      <c r="D57" s="7" t="s">
        <v>702</v>
      </c>
      <c r="E57" s="7" t="s">
        <v>703</v>
      </c>
      <c r="F57" s="7" t="s">
        <v>489</v>
      </c>
      <c r="G57" s="7" t="s">
        <v>704</v>
      </c>
      <c r="H57" s="4" t="s">
        <v>705</v>
      </c>
    </row>
    <row r="58" spans="1:8" ht="75" x14ac:dyDescent="0.2">
      <c r="A58" s="6">
        <v>54</v>
      </c>
      <c r="B58" s="7" t="s">
        <v>190</v>
      </c>
      <c r="C58" s="6" t="s">
        <v>191</v>
      </c>
      <c r="D58" s="7" t="s">
        <v>706</v>
      </c>
      <c r="E58" s="7" t="s">
        <v>707</v>
      </c>
      <c r="F58" s="7" t="s">
        <v>489</v>
      </c>
      <c r="G58" s="7" t="s">
        <v>708</v>
      </c>
      <c r="H58" s="4" t="s">
        <v>709</v>
      </c>
    </row>
    <row r="59" spans="1:8" ht="105" x14ac:dyDescent="0.2">
      <c r="A59" s="6">
        <v>55</v>
      </c>
      <c r="B59" s="7" t="s">
        <v>193</v>
      </c>
      <c r="C59" s="6" t="s">
        <v>194</v>
      </c>
      <c r="D59" s="7" t="s">
        <v>710</v>
      </c>
      <c r="E59" s="7" t="s">
        <v>711</v>
      </c>
      <c r="F59" s="7" t="s">
        <v>712</v>
      </c>
      <c r="G59" s="7" t="s">
        <v>713</v>
      </c>
      <c r="H59" s="4" t="s">
        <v>714</v>
      </c>
    </row>
    <row r="60" spans="1:8" ht="90" x14ac:dyDescent="0.2">
      <c r="A60" s="6">
        <v>56</v>
      </c>
      <c r="B60" s="7" t="s">
        <v>196</v>
      </c>
      <c r="C60" s="6" t="s">
        <v>197</v>
      </c>
      <c r="D60" s="7" t="s">
        <v>715</v>
      </c>
      <c r="E60" s="7" t="s">
        <v>716</v>
      </c>
      <c r="F60" s="7" t="s">
        <v>489</v>
      </c>
      <c r="G60" s="7" t="s">
        <v>717</v>
      </c>
      <c r="H60" s="4" t="s">
        <v>718</v>
      </c>
    </row>
    <row r="61" spans="1:8" ht="165" x14ac:dyDescent="0.2">
      <c r="A61" s="6">
        <v>57</v>
      </c>
      <c r="B61" s="7" t="s">
        <v>199</v>
      </c>
      <c r="C61" s="6" t="s">
        <v>200</v>
      </c>
      <c r="D61" s="7" t="s">
        <v>719</v>
      </c>
      <c r="E61" s="7" t="s">
        <v>720</v>
      </c>
      <c r="F61" s="7" t="s">
        <v>489</v>
      </c>
      <c r="G61" s="7" t="s">
        <v>721</v>
      </c>
      <c r="H61" s="4" t="s">
        <v>722</v>
      </c>
    </row>
    <row r="62" spans="1:8" ht="105" x14ac:dyDescent="0.2">
      <c r="A62" s="6">
        <v>58</v>
      </c>
      <c r="B62" s="7" t="s">
        <v>202</v>
      </c>
      <c r="C62" s="6" t="s">
        <v>203</v>
      </c>
      <c r="D62" s="7" t="s">
        <v>723</v>
      </c>
      <c r="E62" s="7" t="s">
        <v>724</v>
      </c>
      <c r="F62" s="7" t="s">
        <v>489</v>
      </c>
      <c r="G62" s="7" t="s">
        <v>725</v>
      </c>
      <c r="H62" s="4" t="s">
        <v>726</v>
      </c>
    </row>
    <row r="63" spans="1:8" ht="105" x14ac:dyDescent="0.2">
      <c r="A63" s="6">
        <v>59</v>
      </c>
      <c r="B63" s="7" t="s">
        <v>205</v>
      </c>
      <c r="C63" s="6" t="s">
        <v>206</v>
      </c>
      <c r="D63" s="7" t="s">
        <v>727</v>
      </c>
      <c r="E63" s="7" t="s">
        <v>728</v>
      </c>
      <c r="F63" s="7" t="s">
        <v>489</v>
      </c>
      <c r="G63" s="7" t="s">
        <v>729</v>
      </c>
      <c r="H63" s="4" t="s">
        <v>730</v>
      </c>
    </row>
    <row r="64" spans="1:8" ht="30" x14ac:dyDescent="0.2">
      <c r="A64" s="6">
        <v>60</v>
      </c>
      <c r="B64" s="7" t="s">
        <v>208</v>
      </c>
      <c r="C64" s="6" t="s">
        <v>209</v>
      </c>
      <c r="D64" s="7" t="s">
        <v>731</v>
      </c>
      <c r="E64" s="7" t="s">
        <v>732</v>
      </c>
      <c r="F64" s="7" t="s">
        <v>489</v>
      </c>
      <c r="G64" s="7" t="s">
        <v>498</v>
      </c>
      <c r="H64" s="4" t="s">
        <v>733</v>
      </c>
    </row>
    <row r="65" spans="1:8" ht="90" x14ac:dyDescent="0.2">
      <c r="A65" s="6">
        <v>61</v>
      </c>
      <c r="B65" s="7" t="s">
        <v>211</v>
      </c>
      <c r="C65" s="6" t="s">
        <v>212</v>
      </c>
      <c r="D65" s="7" t="s">
        <v>734</v>
      </c>
      <c r="E65" s="7" t="s">
        <v>735</v>
      </c>
      <c r="F65" s="7" t="s">
        <v>489</v>
      </c>
      <c r="G65" s="7" t="s">
        <v>736</v>
      </c>
      <c r="H65" s="4" t="s">
        <v>737</v>
      </c>
    </row>
    <row r="66" spans="1:8" ht="135" x14ac:dyDescent="0.2">
      <c r="A66" s="6">
        <v>62</v>
      </c>
      <c r="B66" s="7" t="s">
        <v>214</v>
      </c>
      <c r="C66" s="6" t="s">
        <v>215</v>
      </c>
      <c r="D66" s="7" t="s">
        <v>738</v>
      </c>
      <c r="E66" s="7" t="s">
        <v>739</v>
      </c>
      <c r="F66" s="7" t="s">
        <v>489</v>
      </c>
      <c r="G66" s="7" t="s">
        <v>740</v>
      </c>
      <c r="H66" s="4" t="s">
        <v>741</v>
      </c>
    </row>
    <row r="67" spans="1:8" ht="90" x14ac:dyDescent="0.2">
      <c r="A67" s="6">
        <v>63</v>
      </c>
      <c r="B67" s="7" t="s">
        <v>217</v>
      </c>
      <c r="C67" s="6" t="s">
        <v>218</v>
      </c>
      <c r="D67" s="7" t="s">
        <v>742</v>
      </c>
      <c r="E67" s="7" t="s">
        <v>743</v>
      </c>
      <c r="F67" s="7" t="s">
        <v>489</v>
      </c>
      <c r="G67" s="7" t="s">
        <v>744</v>
      </c>
      <c r="H67" s="4" t="s">
        <v>745</v>
      </c>
    </row>
    <row r="68" spans="1:8" ht="150" x14ac:dyDescent="0.2">
      <c r="A68" s="6">
        <v>64</v>
      </c>
      <c r="B68" s="7" t="s">
        <v>220</v>
      </c>
      <c r="C68" s="6" t="s">
        <v>221</v>
      </c>
      <c r="D68" s="7" t="s">
        <v>746</v>
      </c>
      <c r="E68" s="7" t="s">
        <v>747</v>
      </c>
      <c r="F68" s="7" t="s">
        <v>489</v>
      </c>
      <c r="G68" s="7" t="s">
        <v>748</v>
      </c>
      <c r="H68" s="4" t="s">
        <v>749</v>
      </c>
    </row>
    <row r="69" spans="1:8" ht="165" x14ac:dyDescent="0.2">
      <c r="A69" s="6">
        <v>65</v>
      </c>
      <c r="B69" s="7" t="s">
        <v>223</v>
      </c>
      <c r="C69" s="6" t="s">
        <v>224</v>
      </c>
      <c r="D69" s="7" t="s">
        <v>750</v>
      </c>
      <c r="E69" s="7" t="s">
        <v>751</v>
      </c>
      <c r="F69" s="7" t="s">
        <v>752</v>
      </c>
      <c r="G69" s="7" t="s">
        <v>753</v>
      </c>
      <c r="H69" s="4" t="s">
        <v>754</v>
      </c>
    </row>
    <row r="70" spans="1:8" ht="180" x14ac:dyDescent="0.2">
      <c r="A70" s="6">
        <v>66</v>
      </c>
      <c r="B70" s="7" t="s">
        <v>226</v>
      </c>
      <c r="C70" s="6" t="s">
        <v>227</v>
      </c>
      <c r="D70" s="7" t="s">
        <v>755</v>
      </c>
      <c r="E70" s="7" t="s">
        <v>756</v>
      </c>
      <c r="F70" s="7" t="s">
        <v>757</v>
      </c>
      <c r="G70" s="7" t="s">
        <v>758</v>
      </c>
      <c r="H70" s="4" t="s">
        <v>759</v>
      </c>
    </row>
    <row r="71" spans="1:8" ht="105" x14ac:dyDescent="0.2">
      <c r="A71" s="6">
        <v>67</v>
      </c>
      <c r="B71" s="7" t="s">
        <v>229</v>
      </c>
      <c r="C71" s="6" t="s">
        <v>230</v>
      </c>
      <c r="D71" s="7" t="s">
        <v>760</v>
      </c>
      <c r="E71" s="7" t="s">
        <v>761</v>
      </c>
      <c r="F71" s="7" t="s">
        <v>489</v>
      </c>
      <c r="G71" s="7" t="s">
        <v>762</v>
      </c>
      <c r="H71" s="4" t="s">
        <v>763</v>
      </c>
    </row>
    <row r="72" spans="1:8" ht="105" x14ac:dyDescent="0.2">
      <c r="A72" s="6">
        <v>68</v>
      </c>
      <c r="B72" s="7" t="s">
        <v>232</v>
      </c>
      <c r="C72" s="6" t="s">
        <v>233</v>
      </c>
      <c r="D72" s="7" t="s">
        <v>764</v>
      </c>
      <c r="E72" s="7" t="s">
        <v>765</v>
      </c>
      <c r="F72" s="7" t="s">
        <v>489</v>
      </c>
      <c r="G72" s="7" t="s">
        <v>766</v>
      </c>
      <c r="H72" s="4" t="s">
        <v>767</v>
      </c>
    </row>
    <row r="73" spans="1:8" ht="90" x14ac:dyDescent="0.2">
      <c r="A73" s="6">
        <v>69</v>
      </c>
      <c r="B73" s="7" t="s">
        <v>235</v>
      </c>
      <c r="C73" s="6" t="s">
        <v>236</v>
      </c>
      <c r="D73" s="7" t="s">
        <v>768</v>
      </c>
      <c r="E73" s="7" t="s">
        <v>769</v>
      </c>
      <c r="F73" s="7" t="s">
        <v>489</v>
      </c>
      <c r="G73" s="7" t="s">
        <v>770</v>
      </c>
      <c r="H73" s="4" t="s">
        <v>771</v>
      </c>
    </row>
    <row r="74" spans="1:8" ht="120" x14ac:dyDescent="0.2">
      <c r="A74" s="6">
        <v>70</v>
      </c>
      <c r="B74" s="7" t="s">
        <v>238</v>
      </c>
      <c r="C74" s="6" t="s">
        <v>239</v>
      </c>
      <c r="D74" s="7" t="s">
        <v>772</v>
      </c>
      <c r="E74" s="7" t="s">
        <v>773</v>
      </c>
      <c r="F74" s="7" t="s">
        <v>489</v>
      </c>
      <c r="G74" s="7" t="s">
        <v>774</v>
      </c>
      <c r="H74" s="4" t="s">
        <v>775</v>
      </c>
    </row>
    <row r="75" spans="1:8" ht="135" x14ac:dyDescent="0.2">
      <c r="A75" s="6">
        <v>71</v>
      </c>
      <c r="B75" s="7" t="s">
        <v>241</v>
      </c>
      <c r="C75" s="6" t="s">
        <v>242</v>
      </c>
      <c r="D75" s="7" t="s">
        <v>776</v>
      </c>
      <c r="E75" s="7" t="s">
        <v>777</v>
      </c>
      <c r="F75" s="7" t="s">
        <v>489</v>
      </c>
      <c r="G75" s="7" t="s">
        <v>778</v>
      </c>
      <c r="H75" s="4" t="s">
        <v>779</v>
      </c>
    </row>
    <row r="76" spans="1:8" ht="120" x14ac:dyDescent="0.2">
      <c r="A76" s="6">
        <v>72</v>
      </c>
      <c r="B76" s="7" t="s">
        <v>244</v>
      </c>
      <c r="C76" s="6" t="s">
        <v>245</v>
      </c>
      <c r="D76" s="7" t="s">
        <v>780</v>
      </c>
      <c r="E76" s="7" t="s">
        <v>781</v>
      </c>
      <c r="F76" s="7" t="s">
        <v>489</v>
      </c>
      <c r="G76" s="7" t="s">
        <v>782</v>
      </c>
      <c r="H76" s="4" t="s">
        <v>783</v>
      </c>
    </row>
    <row r="77" spans="1:8" ht="75" x14ac:dyDescent="0.2">
      <c r="A77" s="6">
        <v>73</v>
      </c>
      <c r="B77" s="7" t="s">
        <v>247</v>
      </c>
      <c r="C77" s="6" t="s">
        <v>248</v>
      </c>
      <c r="D77" s="7" t="s">
        <v>784</v>
      </c>
      <c r="E77" s="7" t="s">
        <v>785</v>
      </c>
      <c r="F77" s="7" t="s">
        <v>489</v>
      </c>
      <c r="G77" s="7" t="s">
        <v>498</v>
      </c>
      <c r="H77" s="4" t="s">
        <v>786</v>
      </c>
    </row>
    <row r="78" spans="1:8" ht="90" x14ac:dyDescent="0.2">
      <c r="A78" s="6">
        <v>74</v>
      </c>
      <c r="B78" s="7" t="s">
        <v>250</v>
      </c>
      <c r="C78" s="6" t="s">
        <v>251</v>
      </c>
      <c r="D78" s="7" t="s">
        <v>787</v>
      </c>
      <c r="E78" s="7" t="s">
        <v>788</v>
      </c>
      <c r="F78" s="7" t="s">
        <v>489</v>
      </c>
      <c r="G78" s="7" t="s">
        <v>498</v>
      </c>
      <c r="H78" s="4" t="s">
        <v>789</v>
      </c>
    </row>
    <row r="79" spans="1:8" ht="90" x14ac:dyDescent="0.2">
      <c r="A79" s="6">
        <v>75</v>
      </c>
      <c r="B79" s="7" t="s">
        <v>253</v>
      </c>
      <c r="C79" s="6" t="s">
        <v>254</v>
      </c>
      <c r="D79" s="7" t="s">
        <v>790</v>
      </c>
      <c r="E79" s="7" t="s">
        <v>791</v>
      </c>
      <c r="F79" s="7" t="s">
        <v>792</v>
      </c>
      <c r="G79" s="7" t="s">
        <v>793</v>
      </c>
      <c r="H79" s="4" t="s">
        <v>794</v>
      </c>
    </row>
    <row r="80" spans="1:8" ht="135" x14ac:dyDescent="0.2">
      <c r="A80" s="6">
        <v>76</v>
      </c>
      <c r="B80" s="7" t="s">
        <v>256</v>
      </c>
      <c r="C80" s="6" t="s">
        <v>257</v>
      </c>
      <c r="D80" s="7" t="s">
        <v>795</v>
      </c>
      <c r="E80" s="7" t="s">
        <v>796</v>
      </c>
      <c r="F80" s="7" t="s">
        <v>489</v>
      </c>
      <c r="G80" s="7" t="s">
        <v>797</v>
      </c>
      <c r="H80" s="4" t="s">
        <v>798</v>
      </c>
    </row>
    <row r="81" spans="1:8" ht="90" x14ac:dyDescent="0.2">
      <c r="A81" s="6">
        <v>77</v>
      </c>
      <c r="B81" s="7" t="s">
        <v>259</v>
      </c>
      <c r="C81" s="6" t="s">
        <v>260</v>
      </c>
      <c r="D81" s="7" t="s">
        <v>799</v>
      </c>
      <c r="E81" s="7" t="s">
        <v>800</v>
      </c>
      <c r="F81" s="7" t="s">
        <v>489</v>
      </c>
      <c r="G81" s="7" t="s">
        <v>801</v>
      </c>
      <c r="H81" s="4" t="s">
        <v>802</v>
      </c>
    </row>
    <row r="82" spans="1:8" ht="90" x14ac:dyDescent="0.2">
      <c r="A82" s="6">
        <v>78</v>
      </c>
      <c r="B82" s="7" t="s">
        <v>262</v>
      </c>
      <c r="C82" s="6" t="s">
        <v>263</v>
      </c>
      <c r="D82" s="7" t="s">
        <v>803</v>
      </c>
      <c r="E82" s="7" t="s">
        <v>804</v>
      </c>
      <c r="F82" s="7" t="s">
        <v>489</v>
      </c>
      <c r="G82" s="7" t="s">
        <v>805</v>
      </c>
      <c r="H82" s="4" t="s">
        <v>806</v>
      </c>
    </row>
    <row r="83" spans="1:8" ht="135" x14ac:dyDescent="0.2">
      <c r="A83" s="6">
        <v>79</v>
      </c>
      <c r="B83" s="7" t="s">
        <v>265</v>
      </c>
      <c r="C83" s="6" t="s">
        <v>266</v>
      </c>
      <c r="D83" s="7" t="s">
        <v>807</v>
      </c>
      <c r="E83" s="7" t="s">
        <v>808</v>
      </c>
      <c r="F83" s="7" t="s">
        <v>489</v>
      </c>
      <c r="G83" s="7" t="s">
        <v>809</v>
      </c>
      <c r="H83" s="4" t="s">
        <v>810</v>
      </c>
    </row>
    <row r="84" spans="1:8" ht="105" x14ac:dyDescent="0.2">
      <c r="A84" s="6">
        <v>80</v>
      </c>
      <c r="B84" s="7" t="s">
        <v>268</v>
      </c>
      <c r="C84" s="6" t="s">
        <v>269</v>
      </c>
      <c r="D84" s="7" t="s">
        <v>811</v>
      </c>
      <c r="E84" s="7" t="s">
        <v>812</v>
      </c>
      <c r="F84" s="7" t="s">
        <v>813</v>
      </c>
      <c r="G84" s="7" t="s">
        <v>814</v>
      </c>
      <c r="H84" s="4" t="s">
        <v>815</v>
      </c>
    </row>
    <row r="85" spans="1:8" ht="75" x14ac:dyDescent="0.2">
      <c r="A85" s="6">
        <v>81</v>
      </c>
      <c r="B85" s="7" t="s">
        <v>271</v>
      </c>
      <c r="C85" s="6" t="s">
        <v>272</v>
      </c>
      <c r="D85" s="7" t="s">
        <v>816</v>
      </c>
      <c r="E85" s="7" t="s">
        <v>817</v>
      </c>
      <c r="F85" s="7" t="s">
        <v>489</v>
      </c>
      <c r="G85" s="7" t="s">
        <v>818</v>
      </c>
      <c r="H85" s="4" t="s">
        <v>819</v>
      </c>
    </row>
    <row r="86" spans="1:8" ht="135" x14ac:dyDescent="0.2">
      <c r="A86" s="6">
        <v>82</v>
      </c>
      <c r="B86" s="7" t="s">
        <v>274</v>
      </c>
      <c r="C86" s="6" t="s">
        <v>275</v>
      </c>
      <c r="D86" s="7" t="s">
        <v>820</v>
      </c>
      <c r="E86" s="7" t="s">
        <v>821</v>
      </c>
      <c r="F86" s="7" t="s">
        <v>489</v>
      </c>
      <c r="G86" s="7" t="s">
        <v>822</v>
      </c>
      <c r="H86" s="4" t="s">
        <v>823</v>
      </c>
    </row>
    <row r="87" spans="1:8" ht="150" x14ac:dyDescent="0.2">
      <c r="A87" s="6">
        <v>83</v>
      </c>
      <c r="B87" s="7" t="s">
        <v>277</v>
      </c>
      <c r="C87" s="6" t="s">
        <v>278</v>
      </c>
      <c r="D87" s="7" t="s">
        <v>824</v>
      </c>
      <c r="E87" s="7" t="s">
        <v>825</v>
      </c>
      <c r="F87" s="7" t="s">
        <v>489</v>
      </c>
      <c r="G87" s="7" t="s">
        <v>826</v>
      </c>
      <c r="H87" s="4" t="s">
        <v>827</v>
      </c>
    </row>
    <row r="88" spans="1:8" ht="75" x14ac:dyDescent="0.2">
      <c r="A88" s="6">
        <v>84</v>
      </c>
      <c r="B88" s="7" t="s">
        <v>280</v>
      </c>
      <c r="C88" s="6" t="s">
        <v>281</v>
      </c>
      <c r="D88" s="7" t="s">
        <v>828</v>
      </c>
      <c r="E88" s="7" t="s">
        <v>829</v>
      </c>
      <c r="F88" s="7" t="s">
        <v>489</v>
      </c>
      <c r="G88" s="7" t="s">
        <v>830</v>
      </c>
      <c r="H88" s="4" t="s">
        <v>831</v>
      </c>
    </row>
    <row r="89" spans="1:8" ht="75" x14ac:dyDescent="0.2">
      <c r="A89" s="6">
        <v>85</v>
      </c>
      <c r="B89" s="7" t="s">
        <v>283</v>
      </c>
      <c r="C89" s="6" t="s">
        <v>284</v>
      </c>
      <c r="D89" s="7" t="s">
        <v>832</v>
      </c>
      <c r="E89" s="7" t="s">
        <v>833</v>
      </c>
      <c r="F89" s="7" t="s">
        <v>489</v>
      </c>
      <c r="G89" s="7" t="s">
        <v>834</v>
      </c>
      <c r="H89" s="4" t="s">
        <v>835</v>
      </c>
    </row>
    <row r="90" spans="1:8" ht="75" x14ac:dyDescent="0.2">
      <c r="A90" s="6">
        <v>86</v>
      </c>
      <c r="B90" s="7" t="s">
        <v>286</v>
      </c>
      <c r="C90" s="6" t="s">
        <v>287</v>
      </c>
      <c r="D90" s="7" t="s">
        <v>836</v>
      </c>
      <c r="E90" s="7" t="s">
        <v>837</v>
      </c>
      <c r="F90" s="7" t="s">
        <v>489</v>
      </c>
      <c r="G90" s="7" t="s">
        <v>838</v>
      </c>
      <c r="H90" s="13" t="s">
        <v>839</v>
      </c>
    </row>
    <row r="91" spans="1:8" ht="105" x14ac:dyDescent="0.2">
      <c r="A91" s="6">
        <v>87</v>
      </c>
      <c r="B91" s="7" t="s">
        <v>289</v>
      </c>
      <c r="C91" s="6" t="s">
        <v>290</v>
      </c>
      <c r="D91" s="7" t="s">
        <v>840</v>
      </c>
      <c r="E91" s="7" t="s">
        <v>841</v>
      </c>
      <c r="F91" s="7" t="s">
        <v>489</v>
      </c>
      <c r="G91" s="7" t="s">
        <v>842</v>
      </c>
      <c r="H91" s="4" t="s">
        <v>843</v>
      </c>
    </row>
    <row r="92" spans="1:8" ht="90" x14ac:dyDescent="0.2">
      <c r="A92" s="6">
        <v>88</v>
      </c>
      <c r="B92" s="7" t="s">
        <v>292</v>
      </c>
      <c r="C92" s="6" t="s">
        <v>293</v>
      </c>
      <c r="D92" s="7" t="s">
        <v>844</v>
      </c>
      <c r="E92" s="7" t="s">
        <v>845</v>
      </c>
      <c r="F92" s="7" t="s">
        <v>489</v>
      </c>
      <c r="G92" s="7" t="s">
        <v>846</v>
      </c>
      <c r="H92" s="4" t="s">
        <v>847</v>
      </c>
    </row>
    <row r="93" spans="1:8" ht="105" x14ac:dyDescent="0.2">
      <c r="A93" s="6">
        <v>89</v>
      </c>
      <c r="B93" s="7" t="s">
        <v>295</v>
      </c>
      <c r="C93" s="6" t="s">
        <v>296</v>
      </c>
      <c r="D93" s="7" t="s">
        <v>848</v>
      </c>
      <c r="E93" s="7" t="s">
        <v>849</v>
      </c>
      <c r="F93" s="7" t="s">
        <v>489</v>
      </c>
      <c r="G93" s="7" t="s">
        <v>498</v>
      </c>
      <c r="H93" s="4" t="s">
        <v>850</v>
      </c>
    </row>
    <row r="94" spans="1:8" ht="90" x14ac:dyDescent="0.2">
      <c r="A94" s="6">
        <v>90</v>
      </c>
      <c r="B94" s="7" t="s">
        <v>298</v>
      </c>
      <c r="C94" s="6" t="s">
        <v>299</v>
      </c>
      <c r="D94" s="7" t="s">
        <v>851</v>
      </c>
      <c r="E94" s="7" t="s">
        <v>852</v>
      </c>
      <c r="F94" s="7" t="s">
        <v>489</v>
      </c>
      <c r="G94" s="7" t="s">
        <v>853</v>
      </c>
      <c r="H94" s="4" t="s">
        <v>854</v>
      </c>
    </row>
    <row r="95" spans="1:8" ht="165" x14ac:dyDescent="0.2">
      <c r="A95" s="6">
        <v>91</v>
      </c>
      <c r="B95" s="7" t="s">
        <v>301</v>
      </c>
      <c r="C95" s="6" t="s">
        <v>302</v>
      </c>
      <c r="D95" s="7" t="s">
        <v>855</v>
      </c>
      <c r="E95" s="7" t="s">
        <v>856</v>
      </c>
      <c r="F95" s="7" t="s">
        <v>857</v>
      </c>
      <c r="G95" s="7" t="s">
        <v>858</v>
      </c>
      <c r="H95" s="4" t="s">
        <v>859</v>
      </c>
    </row>
    <row r="96" spans="1:8" ht="90" x14ac:dyDescent="0.2">
      <c r="A96" s="6">
        <v>92</v>
      </c>
      <c r="B96" s="7" t="s">
        <v>304</v>
      </c>
      <c r="C96" s="6" t="s">
        <v>305</v>
      </c>
      <c r="D96" s="7" t="s">
        <v>860</v>
      </c>
      <c r="E96" s="7" t="s">
        <v>861</v>
      </c>
      <c r="F96" s="7" t="s">
        <v>489</v>
      </c>
      <c r="G96" s="7" t="s">
        <v>862</v>
      </c>
      <c r="H96" s="4" t="s">
        <v>863</v>
      </c>
    </row>
    <row r="97" spans="1:8" ht="75" x14ac:dyDescent="0.2">
      <c r="A97" s="6">
        <v>93</v>
      </c>
      <c r="B97" s="7" t="s">
        <v>307</v>
      </c>
      <c r="C97" s="6" t="s">
        <v>308</v>
      </c>
      <c r="D97" s="7" t="s">
        <v>864</v>
      </c>
      <c r="E97" s="7" t="s">
        <v>865</v>
      </c>
      <c r="F97" s="7" t="s">
        <v>489</v>
      </c>
      <c r="G97" s="7" t="s">
        <v>866</v>
      </c>
      <c r="H97" s="4" t="s">
        <v>867</v>
      </c>
    </row>
    <row r="98" spans="1:8" ht="135" x14ac:dyDescent="0.2">
      <c r="A98" s="6">
        <v>94</v>
      </c>
      <c r="B98" s="7" t="s">
        <v>310</v>
      </c>
      <c r="C98" s="6" t="s">
        <v>311</v>
      </c>
      <c r="D98" s="7" t="s">
        <v>868</v>
      </c>
      <c r="E98" s="7" t="s">
        <v>869</v>
      </c>
      <c r="F98" s="7" t="s">
        <v>489</v>
      </c>
      <c r="G98" s="7" t="s">
        <v>870</v>
      </c>
      <c r="H98" s="4" t="s">
        <v>871</v>
      </c>
    </row>
    <row r="99" spans="1:8" ht="90" x14ac:dyDescent="0.2">
      <c r="A99" s="6">
        <v>95</v>
      </c>
      <c r="B99" s="7" t="s">
        <v>313</v>
      </c>
      <c r="C99" s="6" t="s">
        <v>314</v>
      </c>
      <c r="D99" s="7" t="s">
        <v>872</v>
      </c>
      <c r="E99" s="7" t="s">
        <v>873</v>
      </c>
      <c r="F99" s="7" t="s">
        <v>489</v>
      </c>
      <c r="G99" s="7" t="s">
        <v>874</v>
      </c>
      <c r="H99" s="4" t="s">
        <v>875</v>
      </c>
    </row>
    <row r="100" spans="1:8" ht="120" x14ac:dyDescent="0.2">
      <c r="A100" s="6">
        <v>96</v>
      </c>
      <c r="B100" s="7" t="s">
        <v>316</v>
      </c>
      <c r="C100" s="6" t="s">
        <v>317</v>
      </c>
      <c r="D100" s="7" t="s">
        <v>876</v>
      </c>
      <c r="E100" s="7" t="s">
        <v>877</v>
      </c>
      <c r="F100" s="7" t="s">
        <v>489</v>
      </c>
      <c r="G100" s="7" t="s">
        <v>498</v>
      </c>
      <c r="H100" s="4" t="s">
        <v>878</v>
      </c>
    </row>
    <row r="101" spans="1:8" ht="135" x14ac:dyDescent="0.2">
      <c r="A101" s="6">
        <v>97</v>
      </c>
      <c r="B101" s="7" t="s">
        <v>319</v>
      </c>
      <c r="C101" s="6" t="s">
        <v>320</v>
      </c>
      <c r="D101" s="7" t="s">
        <v>879</v>
      </c>
      <c r="E101" s="7" t="s">
        <v>880</v>
      </c>
      <c r="F101" s="7" t="s">
        <v>489</v>
      </c>
      <c r="G101" s="7" t="s">
        <v>881</v>
      </c>
      <c r="H101" s="4" t="s">
        <v>882</v>
      </c>
    </row>
    <row r="102" spans="1:8" ht="90" x14ac:dyDescent="0.2">
      <c r="A102" s="6">
        <v>98</v>
      </c>
      <c r="B102" s="7" t="s">
        <v>322</v>
      </c>
      <c r="C102" s="6" t="s">
        <v>323</v>
      </c>
      <c r="D102" s="7" t="s">
        <v>883</v>
      </c>
      <c r="E102" s="7" t="s">
        <v>884</v>
      </c>
      <c r="F102" s="7" t="s">
        <v>489</v>
      </c>
      <c r="G102" s="7" t="s">
        <v>498</v>
      </c>
      <c r="H102" s="4" t="s">
        <v>885</v>
      </c>
    </row>
    <row r="103" spans="1:8" ht="195" x14ac:dyDescent="0.2">
      <c r="A103" s="6">
        <v>99</v>
      </c>
      <c r="B103" s="7" t="s">
        <v>325</v>
      </c>
      <c r="C103" s="6" t="s">
        <v>326</v>
      </c>
      <c r="D103" s="7" t="s">
        <v>886</v>
      </c>
      <c r="E103" s="7" t="s">
        <v>887</v>
      </c>
      <c r="F103" s="7" t="s">
        <v>489</v>
      </c>
      <c r="G103" s="7" t="s">
        <v>888</v>
      </c>
      <c r="H103" s="4" t="s">
        <v>889</v>
      </c>
    </row>
    <row r="104" spans="1:8" ht="90" x14ac:dyDescent="0.2">
      <c r="A104" s="6">
        <v>100</v>
      </c>
      <c r="B104" s="7" t="s">
        <v>328</v>
      </c>
      <c r="C104" s="6" t="s">
        <v>329</v>
      </c>
      <c r="D104" s="7" t="s">
        <v>890</v>
      </c>
      <c r="E104" s="7" t="s">
        <v>891</v>
      </c>
      <c r="F104" s="7" t="s">
        <v>489</v>
      </c>
      <c r="G104" s="7" t="s">
        <v>892</v>
      </c>
      <c r="H104" s="4" t="s">
        <v>893</v>
      </c>
    </row>
    <row r="105" spans="1:8" ht="135" x14ac:dyDescent="0.2">
      <c r="A105" s="6">
        <v>101</v>
      </c>
      <c r="B105" s="7" t="s">
        <v>331</v>
      </c>
      <c r="C105" s="6" t="s">
        <v>332</v>
      </c>
      <c r="D105" s="7" t="s">
        <v>894</v>
      </c>
      <c r="E105" s="7" t="s">
        <v>895</v>
      </c>
      <c r="F105" s="7" t="s">
        <v>489</v>
      </c>
      <c r="G105" s="7" t="s">
        <v>896</v>
      </c>
      <c r="H105" s="4" t="s">
        <v>897</v>
      </c>
    </row>
    <row r="106" spans="1:8" ht="105" x14ac:dyDescent="0.2">
      <c r="A106" s="6">
        <v>102</v>
      </c>
      <c r="B106" s="7" t="s">
        <v>334</v>
      </c>
      <c r="C106" s="6" t="s">
        <v>335</v>
      </c>
      <c r="D106" s="7" t="s">
        <v>898</v>
      </c>
      <c r="E106" s="7" t="s">
        <v>899</v>
      </c>
      <c r="F106" s="7" t="s">
        <v>489</v>
      </c>
      <c r="G106" s="7" t="s">
        <v>900</v>
      </c>
      <c r="H106" s="4" t="s">
        <v>901</v>
      </c>
    </row>
    <row r="107" spans="1:8" ht="90" x14ac:dyDescent="0.2">
      <c r="A107" s="6">
        <v>103</v>
      </c>
      <c r="B107" s="7" t="s">
        <v>337</v>
      </c>
      <c r="C107" s="6" t="s">
        <v>338</v>
      </c>
      <c r="D107" s="7" t="s">
        <v>902</v>
      </c>
      <c r="E107" s="7" t="s">
        <v>903</v>
      </c>
      <c r="F107" s="7" t="s">
        <v>489</v>
      </c>
      <c r="G107" s="7" t="s">
        <v>904</v>
      </c>
      <c r="H107" s="4" t="s">
        <v>905</v>
      </c>
    </row>
    <row r="108" spans="1:8" ht="90" x14ac:dyDescent="0.2">
      <c r="A108" s="6">
        <v>104</v>
      </c>
      <c r="B108" s="7" t="s">
        <v>340</v>
      </c>
      <c r="C108" s="6" t="s">
        <v>341</v>
      </c>
      <c r="D108" s="7" t="s">
        <v>906</v>
      </c>
      <c r="E108" s="7" t="s">
        <v>907</v>
      </c>
      <c r="F108" s="7" t="s">
        <v>489</v>
      </c>
      <c r="G108" s="7" t="s">
        <v>498</v>
      </c>
      <c r="H108" s="4" t="s">
        <v>908</v>
      </c>
    </row>
    <row r="109" spans="1:8" ht="165" x14ac:dyDescent="0.2">
      <c r="A109" s="6">
        <v>105</v>
      </c>
      <c r="B109" s="7" t="s">
        <v>343</v>
      </c>
      <c r="C109" s="6" t="s">
        <v>344</v>
      </c>
      <c r="D109" s="7" t="s">
        <v>909</v>
      </c>
      <c r="E109" s="7" t="s">
        <v>910</v>
      </c>
      <c r="F109" s="7" t="s">
        <v>489</v>
      </c>
      <c r="G109" s="7" t="s">
        <v>911</v>
      </c>
      <c r="H109" s="4" t="s">
        <v>912</v>
      </c>
    </row>
    <row r="110" spans="1:8" ht="150" x14ac:dyDescent="0.2">
      <c r="A110" s="6">
        <v>106</v>
      </c>
      <c r="B110" s="7" t="s">
        <v>346</v>
      </c>
      <c r="C110" s="6" t="s">
        <v>347</v>
      </c>
      <c r="D110" s="7" t="s">
        <v>913</v>
      </c>
      <c r="E110" s="7" t="s">
        <v>914</v>
      </c>
      <c r="F110" s="7" t="s">
        <v>915</v>
      </c>
      <c r="G110" s="7" t="s">
        <v>916</v>
      </c>
      <c r="H110" s="4" t="s">
        <v>917</v>
      </c>
    </row>
    <row r="111" spans="1:8" ht="120" x14ac:dyDescent="0.2">
      <c r="A111" s="6">
        <v>107</v>
      </c>
      <c r="B111" s="7" t="s">
        <v>349</v>
      </c>
      <c r="C111" s="6" t="s">
        <v>350</v>
      </c>
      <c r="D111" s="7" t="s">
        <v>918</v>
      </c>
      <c r="E111" s="7" t="s">
        <v>919</v>
      </c>
      <c r="F111" s="7" t="s">
        <v>489</v>
      </c>
      <c r="G111" s="7" t="s">
        <v>920</v>
      </c>
      <c r="H111" s="4" t="s">
        <v>921</v>
      </c>
    </row>
    <row r="112" spans="1:8" ht="90" x14ac:dyDescent="0.2">
      <c r="A112" s="6">
        <v>108</v>
      </c>
      <c r="B112" s="7" t="s">
        <v>352</v>
      </c>
      <c r="C112" s="6" t="s">
        <v>353</v>
      </c>
      <c r="D112" s="7" t="s">
        <v>922</v>
      </c>
      <c r="E112" s="7" t="s">
        <v>923</v>
      </c>
      <c r="F112" s="7" t="s">
        <v>489</v>
      </c>
      <c r="G112" s="7" t="s">
        <v>498</v>
      </c>
      <c r="H112" s="4" t="s">
        <v>924</v>
      </c>
    </row>
    <row r="113" spans="1:8" ht="90" x14ac:dyDescent="0.2">
      <c r="A113" s="6">
        <v>109</v>
      </c>
      <c r="B113" s="7" t="s">
        <v>355</v>
      </c>
      <c r="C113" s="6" t="s">
        <v>356</v>
      </c>
      <c r="D113" s="7" t="s">
        <v>925</v>
      </c>
      <c r="E113" s="7" t="s">
        <v>926</v>
      </c>
      <c r="F113" s="7" t="s">
        <v>489</v>
      </c>
      <c r="G113" s="7" t="s">
        <v>927</v>
      </c>
      <c r="H113" s="4" t="s">
        <v>928</v>
      </c>
    </row>
    <row r="114" spans="1:8" ht="75" x14ac:dyDescent="0.2">
      <c r="A114" s="6">
        <v>110</v>
      </c>
      <c r="B114" s="7" t="s">
        <v>358</v>
      </c>
      <c r="C114" s="6" t="s">
        <v>359</v>
      </c>
      <c r="D114" s="7" t="s">
        <v>929</v>
      </c>
      <c r="E114" s="7" t="s">
        <v>930</v>
      </c>
      <c r="F114" s="7" t="s">
        <v>489</v>
      </c>
      <c r="G114" s="7" t="s">
        <v>931</v>
      </c>
      <c r="H114" s="4" t="s">
        <v>932</v>
      </c>
    </row>
    <row r="115" spans="1:8" ht="90" x14ac:dyDescent="0.2">
      <c r="A115" s="6">
        <v>111</v>
      </c>
      <c r="B115" s="7" t="s">
        <v>361</v>
      </c>
      <c r="C115" s="6" t="s">
        <v>362</v>
      </c>
      <c r="D115" s="7" t="s">
        <v>933</v>
      </c>
      <c r="E115" s="7" t="s">
        <v>934</v>
      </c>
      <c r="F115" s="7" t="s">
        <v>935</v>
      </c>
      <c r="G115" s="7" t="s">
        <v>936</v>
      </c>
      <c r="H115" s="4" t="s">
        <v>937</v>
      </c>
    </row>
    <row r="116" spans="1:8" ht="75" x14ac:dyDescent="0.2">
      <c r="A116" s="6">
        <v>112</v>
      </c>
      <c r="B116" s="7" t="s">
        <v>364</v>
      </c>
      <c r="C116" s="6" t="s">
        <v>365</v>
      </c>
      <c r="D116" s="7" t="s">
        <v>938</v>
      </c>
      <c r="E116" s="7" t="s">
        <v>939</v>
      </c>
      <c r="F116" s="7" t="s">
        <v>489</v>
      </c>
      <c r="G116" s="7" t="s">
        <v>498</v>
      </c>
      <c r="H116" s="4" t="s">
        <v>940</v>
      </c>
    </row>
    <row r="117" spans="1:8" ht="105" x14ac:dyDescent="0.2">
      <c r="A117" s="6">
        <v>113</v>
      </c>
      <c r="B117" s="7" t="s">
        <v>367</v>
      </c>
      <c r="C117" s="6" t="s">
        <v>368</v>
      </c>
      <c r="D117" s="7" t="s">
        <v>941</v>
      </c>
      <c r="E117" s="7" t="s">
        <v>942</v>
      </c>
      <c r="F117" s="7" t="s">
        <v>489</v>
      </c>
      <c r="G117" s="7" t="s">
        <v>943</v>
      </c>
      <c r="H117" s="4" t="s">
        <v>944</v>
      </c>
    </row>
    <row r="118" spans="1:8" ht="150" x14ac:dyDescent="0.2">
      <c r="A118" s="6">
        <v>114</v>
      </c>
      <c r="B118" s="7" t="s">
        <v>370</v>
      </c>
      <c r="C118" s="6" t="s">
        <v>371</v>
      </c>
      <c r="D118" s="7" t="s">
        <v>945</v>
      </c>
      <c r="E118" s="7" t="s">
        <v>946</v>
      </c>
      <c r="F118" s="7" t="s">
        <v>489</v>
      </c>
      <c r="G118" s="7" t="s">
        <v>947</v>
      </c>
      <c r="H118" s="4" t="s">
        <v>948</v>
      </c>
    </row>
    <row r="119" spans="1:8" ht="105" x14ac:dyDescent="0.2">
      <c r="A119" s="6">
        <v>115</v>
      </c>
      <c r="B119" s="7" t="s">
        <v>373</v>
      </c>
      <c r="C119" s="6" t="s">
        <v>374</v>
      </c>
      <c r="D119" s="7" t="s">
        <v>949</v>
      </c>
      <c r="E119" s="7" t="s">
        <v>950</v>
      </c>
      <c r="F119" s="7" t="s">
        <v>489</v>
      </c>
      <c r="G119" s="7" t="s">
        <v>951</v>
      </c>
      <c r="H119" s="4" t="s">
        <v>952</v>
      </c>
    </row>
    <row r="120" spans="1:8" ht="75" x14ac:dyDescent="0.2">
      <c r="A120" s="6">
        <v>116</v>
      </c>
      <c r="B120" s="7" t="s">
        <v>376</v>
      </c>
      <c r="C120" s="6" t="s">
        <v>377</v>
      </c>
      <c r="D120" s="7" t="s">
        <v>953</v>
      </c>
      <c r="E120" s="7" t="s">
        <v>954</v>
      </c>
      <c r="F120" s="7" t="s">
        <v>489</v>
      </c>
      <c r="G120" s="7" t="s">
        <v>955</v>
      </c>
      <c r="H120" s="4" t="s">
        <v>956</v>
      </c>
    </row>
    <row r="121" spans="1:8" ht="135" x14ac:dyDescent="0.2">
      <c r="A121" s="6">
        <v>117</v>
      </c>
      <c r="B121" s="7" t="s">
        <v>379</v>
      </c>
      <c r="C121" s="6" t="s">
        <v>380</v>
      </c>
      <c r="D121" s="7" t="s">
        <v>957</v>
      </c>
      <c r="E121" s="7" t="s">
        <v>958</v>
      </c>
      <c r="F121" s="7" t="s">
        <v>489</v>
      </c>
      <c r="G121" s="7" t="s">
        <v>959</v>
      </c>
      <c r="H121" s="4" t="s">
        <v>960</v>
      </c>
    </row>
    <row r="122" spans="1:8" ht="135" x14ac:dyDescent="0.2">
      <c r="A122" s="6">
        <v>118</v>
      </c>
      <c r="B122" s="7" t="s">
        <v>382</v>
      </c>
      <c r="C122" s="6" t="s">
        <v>383</v>
      </c>
      <c r="D122" s="7" t="s">
        <v>961</v>
      </c>
      <c r="E122" s="7" t="s">
        <v>962</v>
      </c>
      <c r="F122" s="7" t="s">
        <v>489</v>
      </c>
      <c r="G122" s="7" t="s">
        <v>963</v>
      </c>
      <c r="H122" s="4" t="s">
        <v>964</v>
      </c>
    </row>
    <row r="123" spans="1:8" ht="90" x14ac:dyDescent="0.2">
      <c r="A123" s="6">
        <v>119</v>
      </c>
      <c r="B123" s="7" t="s">
        <v>385</v>
      </c>
      <c r="C123" s="6" t="s">
        <v>386</v>
      </c>
      <c r="D123" s="7" t="s">
        <v>965</v>
      </c>
      <c r="E123" s="7" t="s">
        <v>966</v>
      </c>
      <c r="F123" s="7" t="s">
        <v>489</v>
      </c>
      <c r="G123" s="7" t="s">
        <v>967</v>
      </c>
      <c r="H123" s="4" t="s">
        <v>968</v>
      </c>
    </row>
    <row r="124" spans="1:8" ht="105" x14ac:dyDescent="0.2">
      <c r="A124" s="6">
        <v>120</v>
      </c>
      <c r="B124" s="7" t="s">
        <v>388</v>
      </c>
      <c r="C124" s="6" t="s">
        <v>389</v>
      </c>
      <c r="D124" s="7" t="s">
        <v>969</v>
      </c>
      <c r="E124" s="7" t="s">
        <v>970</v>
      </c>
      <c r="F124" s="7" t="s">
        <v>489</v>
      </c>
      <c r="G124" s="7" t="s">
        <v>971</v>
      </c>
      <c r="H124" s="4" t="s">
        <v>972</v>
      </c>
    </row>
    <row r="125" spans="1:8" ht="135" x14ac:dyDescent="0.2">
      <c r="A125" s="6">
        <v>121</v>
      </c>
      <c r="B125" s="7" t="s">
        <v>391</v>
      </c>
      <c r="C125" s="6" t="s">
        <v>392</v>
      </c>
      <c r="D125" s="7" t="s">
        <v>973</v>
      </c>
      <c r="E125" s="7" t="s">
        <v>974</v>
      </c>
      <c r="F125" s="7" t="s">
        <v>489</v>
      </c>
      <c r="G125" s="7" t="s">
        <v>975</v>
      </c>
      <c r="H125" s="4" t="s">
        <v>976</v>
      </c>
    </row>
    <row r="126" spans="1:8" ht="150" x14ac:dyDescent="0.2">
      <c r="A126" s="6">
        <v>122</v>
      </c>
      <c r="B126" s="7" t="s">
        <v>394</v>
      </c>
      <c r="C126" s="6" t="s">
        <v>395</v>
      </c>
      <c r="D126" s="7" t="s">
        <v>977</v>
      </c>
      <c r="E126" s="7" t="s">
        <v>978</v>
      </c>
      <c r="F126" s="7" t="s">
        <v>979</v>
      </c>
      <c r="G126" s="7" t="s">
        <v>980</v>
      </c>
      <c r="H126" s="4" t="s">
        <v>981</v>
      </c>
    </row>
    <row r="127" spans="1:8" ht="165" x14ac:dyDescent="0.2">
      <c r="A127" s="6">
        <v>123</v>
      </c>
      <c r="B127" s="7" t="s">
        <v>397</v>
      </c>
      <c r="C127" s="6" t="s">
        <v>398</v>
      </c>
      <c r="D127" s="7" t="s">
        <v>982</v>
      </c>
      <c r="E127" s="7" t="s">
        <v>983</v>
      </c>
      <c r="F127" s="7" t="s">
        <v>489</v>
      </c>
      <c r="G127" s="7" t="s">
        <v>984</v>
      </c>
      <c r="H127" s="4" t="s">
        <v>985</v>
      </c>
    </row>
    <row r="128" spans="1:8" ht="75" x14ac:dyDescent="0.2">
      <c r="A128" s="6">
        <v>124</v>
      </c>
      <c r="B128" s="7" t="s">
        <v>400</v>
      </c>
      <c r="C128" s="6" t="s">
        <v>401</v>
      </c>
      <c r="D128" s="7" t="s">
        <v>986</v>
      </c>
      <c r="E128" s="7" t="s">
        <v>987</v>
      </c>
      <c r="F128" s="7" t="s">
        <v>489</v>
      </c>
      <c r="G128" s="7" t="s">
        <v>988</v>
      </c>
      <c r="H128" s="4" t="s">
        <v>989</v>
      </c>
    </row>
    <row r="129" spans="1:8" ht="150" x14ac:dyDescent="0.2">
      <c r="A129" s="6">
        <v>125</v>
      </c>
      <c r="B129" s="7" t="s">
        <v>403</v>
      </c>
      <c r="C129" s="6" t="s">
        <v>404</v>
      </c>
      <c r="D129" s="7" t="s">
        <v>990</v>
      </c>
      <c r="E129" s="7" t="s">
        <v>991</v>
      </c>
      <c r="F129" s="7" t="s">
        <v>489</v>
      </c>
      <c r="G129" s="7" t="s">
        <v>992</v>
      </c>
      <c r="H129" s="4" t="s">
        <v>993</v>
      </c>
    </row>
    <row r="130" spans="1:8" ht="105" x14ac:dyDescent="0.2">
      <c r="A130" s="6">
        <v>126</v>
      </c>
      <c r="B130" s="7" t="s">
        <v>406</v>
      </c>
      <c r="C130" s="6" t="s">
        <v>407</v>
      </c>
      <c r="D130" s="7" t="s">
        <v>994</v>
      </c>
      <c r="E130" s="7" t="s">
        <v>995</v>
      </c>
      <c r="F130" s="7" t="s">
        <v>489</v>
      </c>
      <c r="G130" s="7" t="s">
        <v>996</v>
      </c>
      <c r="H130" s="4" t="s">
        <v>997</v>
      </c>
    </row>
    <row r="131" spans="1:8" ht="165" x14ac:dyDescent="0.2">
      <c r="A131" s="6">
        <v>127</v>
      </c>
      <c r="B131" s="7" t="s">
        <v>409</v>
      </c>
      <c r="C131" s="6" t="s">
        <v>410</v>
      </c>
      <c r="D131" s="7" t="s">
        <v>998</v>
      </c>
      <c r="E131" s="7" t="s">
        <v>999</v>
      </c>
      <c r="F131" s="7" t="s">
        <v>489</v>
      </c>
      <c r="G131" s="7" t="s">
        <v>1000</v>
      </c>
      <c r="H131" s="4" t="s">
        <v>1001</v>
      </c>
    </row>
    <row r="132" spans="1:8" ht="60" x14ac:dyDescent="0.2">
      <c r="A132" s="6">
        <v>128</v>
      </c>
      <c r="B132" s="7" t="s">
        <v>412</v>
      </c>
      <c r="C132" s="6" t="s">
        <v>413</v>
      </c>
      <c r="D132" s="7" t="s">
        <v>1002</v>
      </c>
      <c r="E132" s="7" t="s">
        <v>1003</v>
      </c>
      <c r="F132" s="7" t="s">
        <v>489</v>
      </c>
      <c r="G132" s="7" t="s">
        <v>1004</v>
      </c>
      <c r="H132" s="4" t="s">
        <v>1005</v>
      </c>
    </row>
    <row r="133" spans="1:8" ht="90" x14ac:dyDescent="0.2">
      <c r="A133" s="6">
        <v>129</v>
      </c>
      <c r="B133" s="7" t="s">
        <v>415</v>
      </c>
      <c r="C133" s="6" t="s">
        <v>416</v>
      </c>
      <c r="D133" s="7" t="s">
        <v>1006</v>
      </c>
      <c r="E133" s="7" t="s">
        <v>1007</v>
      </c>
      <c r="F133" s="7" t="s">
        <v>489</v>
      </c>
      <c r="G133" s="7" t="s">
        <v>1008</v>
      </c>
      <c r="H133" s="4" t="s">
        <v>1009</v>
      </c>
    </row>
    <row r="134" spans="1:8" ht="120" x14ac:dyDescent="0.2">
      <c r="A134" s="6">
        <v>130</v>
      </c>
      <c r="B134" s="7" t="s">
        <v>418</v>
      </c>
      <c r="C134" s="6" t="s">
        <v>419</v>
      </c>
      <c r="D134" s="7" t="s">
        <v>1010</v>
      </c>
      <c r="E134" s="7" t="s">
        <v>1011</v>
      </c>
      <c r="F134" s="7" t="s">
        <v>489</v>
      </c>
      <c r="G134" s="7" t="s">
        <v>1012</v>
      </c>
      <c r="H134" s="4" t="s">
        <v>1013</v>
      </c>
    </row>
    <row r="135" spans="1:8" ht="105" x14ac:dyDescent="0.2">
      <c r="A135" s="6">
        <v>131</v>
      </c>
      <c r="B135" s="7" t="s">
        <v>421</v>
      </c>
      <c r="C135" s="6" t="s">
        <v>422</v>
      </c>
      <c r="D135" s="7" t="s">
        <v>1014</v>
      </c>
      <c r="E135" s="7" t="s">
        <v>1015</v>
      </c>
      <c r="F135" s="7" t="s">
        <v>489</v>
      </c>
      <c r="G135" s="7" t="s">
        <v>1016</v>
      </c>
      <c r="H135" s="4" t="s">
        <v>1017</v>
      </c>
    </row>
    <row r="136" spans="1:8" ht="75" x14ac:dyDescent="0.2">
      <c r="A136" s="6">
        <v>132</v>
      </c>
      <c r="B136" s="7" t="s">
        <v>424</v>
      </c>
      <c r="C136" s="6" t="s">
        <v>425</v>
      </c>
      <c r="D136" s="7" t="s">
        <v>1018</v>
      </c>
      <c r="E136" s="7" t="s">
        <v>1019</v>
      </c>
      <c r="F136" s="7" t="s">
        <v>489</v>
      </c>
      <c r="G136" s="7" t="s">
        <v>498</v>
      </c>
      <c r="H136" s="4" t="s">
        <v>1020</v>
      </c>
    </row>
    <row r="137" spans="1:8" ht="180" x14ac:dyDescent="0.2">
      <c r="A137" s="6">
        <v>133</v>
      </c>
      <c r="B137" s="7" t="s">
        <v>427</v>
      </c>
      <c r="C137" s="6" t="s">
        <v>428</v>
      </c>
      <c r="D137" s="7" t="s">
        <v>1021</v>
      </c>
      <c r="E137" s="7" t="s">
        <v>1022</v>
      </c>
      <c r="F137" s="7" t="s">
        <v>489</v>
      </c>
      <c r="G137" s="7" t="s">
        <v>1023</v>
      </c>
      <c r="H137" s="4" t="s">
        <v>1024</v>
      </c>
    </row>
    <row r="138" spans="1:8" ht="90" x14ac:dyDescent="0.2">
      <c r="A138" s="6">
        <v>134</v>
      </c>
      <c r="B138" s="7" t="s">
        <v>430</v>
      </c>
      <c r="C138" s="6" t="s">
        <v>431</v>
      </c>
      <c r="D138" s="7" t="s">
        <v>1025</v>
      </c>
      <c r="E138" s="7" t="s">
        <v>1026</v>
      </c>
      <c r="F138" s="7" t="s">
        <v>489</v>
      </c>
      <c r="G138" s="7" t="s">
        <v>498</v>
      </c>
      <c r="H138" s="4" t="s">
        <v>1027</v>
      </c>
    </row>
    <row r="139" spans="1:8" ht="150" x14ac:dyDescent="0.2">
      <c r="A139" s="6">
        <v>135</v>
      </c>
      <c r="B139" s="7" t="s">
        <v>433</v>
      </c>
      <c r="C139" s="6" t="s">
        <v>434</v>
      </c>
      <c r="D139" s="7" t="s">
        <v>1028</v>
      </c>
      <c r="E139" s="7" t="s">
        <v>1029</v>
      </c>
      <c r="F139" s="7" t="s">
        <v>489</v>
      </c>
      <c r="G139" s="7" t="s">
        <v>498</v>
      </c>
      <c r="H139" s="4" t="s">
        <v>1030</v>
      </c>
    </row>
    <row r="140" spans="1:8" ht="90" x14ac:dyDescent="0.2">
      <c r="A140" s="6">
        <v>136</v>
      </c>
      <c r="B140" s="7" t="s">
        <v>436</v>
      </c>
      <c r="C140" s="6" t="s">
        <v>437</v>
      </c>
      <c r="D140" s="7" t="s">
        <v>1031</v>
      </c>
      <c r="E140" s="7" t="s">
        <v>1032</v>
      </c>
      <c r="F140" s="7" t="s">
        <v>489</v>
      </c>
      <c r="G140" s="7" t="s">
        <v>1033</v>
      </c>
      <c r="H140" s="4" t="s">
        <v>1034</v>
      </c>
    </row>
    <row r="141" spans="1:8" ht="120" x14ac:dyDescent="0.2">
      <c r="A141" s="6">
        <v>137</v>
      </c>
      <c r="B141" s="7" t="s">
        <v>439</v>
      </c>
      <c r="C141" s="6" t="s">
        <v>440</v>
      </c>
      <c r="D141" s="7" t="s">
        <v>1035</v>
      </c>
      <c r="E141" s="7" t="s">
        <v>1036</v>
      </c>
      <c r="F141" s="7" t="s">
        <v>489</v>
      </c>
      <c r="G141" s="7" t="s">
        <v>498</v>
      </c>
      <c r="H141" s="4" t="s">
        <v>1037</v>
      </c>
    </row>
    <row r="142" spans="1:8" ht="165" x14ac:dyDescent="0.2">
      <c r="A142" s="6">
        <v>138</v>
      </c>
      <c r="B142" s="7" t="s">
        <v>442</v>
      </c>
      <c r="C142" s="6" t="s">
        <v>443</v>
      </c>
      <c r="D142" s="7" t="s">
        <v>1038</v>
      </c>
      <c r="E142" s="7" t="s">
        <v>1039</v>
      </c>
      <c r="F142" s="7" t="s">
        <v>1040</v>
      </c>
      <c r="G142" s="7" t="s">
        <v>1041</v>
      </c>
      <c r="H142" s="4" t="s">
        <v>1042</v>
      </c>
    </row>
    <row r="143" spans="1:8" ht="105" x14ac:dyDescent="0.2">
      <c r="A143" s="6">
        <v>139</v>
      </c>
      <c r="B143" s="7" t="s">
        <v>445</v>
      </c>
      <c r="C143" s="6" t="s">
        <v>446</v>
      </c>
      <c r="D143" s="7" t="s">
        <v>1043</v>
      </c>
      <c r="E143" s="7" t="s">
        <v>1044</v>
      </c>
      <c r="F143" s="7" t="s">
        <v>489</v>
      </c>
      <c r="G143" s="7" t="s">
        <v>498</v>
      </c>
      <c r="H143" s="4" t="s">
        <v>1045</v>
      </c>
    </row>
    <row r="144" spans="1:8" ht="165" x14ac:dyDescent="0.2">
      <c r="A144" s="6">
        <v>140</v>
      </c>
      <c r="B144" s="7" t="s">
        <v>448</v>
      </c>
      <c r="C144" s="6" t="s">
        <v>449</v>
      </c>
      <c r="D144" s="7" t="s">
        <v>1046</v>
      </c>
      <c r="E144" s="7" t="s">
        <v>1047</v>
      </c>
      <c r="F144" s="7" t="s">
        <v>489</v>
      </c>
      <c r="G144" s="7" t="s">
        <v>1048</v>
      </c>
      <c r="H144" s="4" t="s">
        <v>1049</v>
      </c>
    </row>
    <row r="145" spans="1:8" ht="165" x14ac:dyDescent="0.2">
      <c r="A145" s="6">
        <v>141</v>
      </c>
      <c r="B145" s="7" t="s">
        <v>451</v>
      </c>
      <c r="C145" s="6" t="s">
        <v>452</v>
      </c>
      <c r="D145" s="7" t="s">
        <v>1050</v>
      </c>
      <c r="E145" s="7" t="s">
        <v>1051</v>
      </c>
      <c r="F145" s="7" t="s">
        <v>489</v>
      </c>
      <c r="G145" s="7" t="s">
        <v>1052</v>
      </c>
      <c r="H145" s="4" t="s">
        <v>1053</v>
      </c>
    </row>
    <row r="146" spans="1:8" ht="75" x14ac:dyDescent="0.2">
      <c r="A146" s="6">
        <v>142</v>
      </c>
      <c r="B146" s="7" t="s">
        <v>454</v>
      </c>
      <c r="C146" s="6" t="s">
        <v>455</v>
      </c>
      <c r="D146" s="7" t="s">
        <v>1054</v>
      </c>
      <c r="E146" s="7" t="s">
        <v>1055</v>
      </c>
      <c r="F146" s="7" t="s">
        <v>489</v>
      </c>
      <c r="G146" s="7" t="s">
        <v>498</v>
      </c>
      <c r="H146" s="4" t="s">
        <v>1056</v>
      </c>
    </row>
    <row r="147" spans="1:8" ht="180" x14ac:dyDescent="0.2">
      <c r="A147" s="6">
        <v>143</v>
      </c>
      <c r="B147" s="7" t="s">
        <v>457</v>
      </c>
      <c r="C147" s="6" t="s">
        <v>458</v>
      </c>
      <c r="D147" s="7" t="s">
        <v>1057</v>
      </c>
      <c r="E147" s="7" t="s">
        <v>1058</v>
      </c>
      <c r="F147" s="7" t="s">
        <v>489</v>
      </c>
      <c r="G147" s="7" t="s">
        <v>1059</v>
      </c>
      <c r="H147" s="4" t="s">
        <v>1060</v>
      </c>
    </row>
    <row r="148" spans="1:8" ht="105" x14ac:dyDescent="0.2">
      <c r="A148" s="6">
        <v>144</v>
      </c>
      <c r="B148" s="7" t="s">
        <v>460</v>
      </c>
      <c r="C148" s="6" t="s">
        <v>461</v>
      </c>
      <c r="D148" s="7" t="s">
        <v>1061</v>
      </c>
      <c r="E148" s="7" t="s">
        <v>1062</v>
      </c>
      <c r="F148" s="7" t="s">
        <v>1063</v>
      </c>
      <c r="G148" s="7" t="s">
        <v>1064</v>
      </c>
      <c r="H148" s="4" t="s">
        <v>1065</v>
      </c>
    </row>
    <row r="149" spans="1:8" ht="165" x14ac:dyDescent="0.2">
      <c r="A149" s="6">
        <v>145</v>
      </c>
      <c r="B149" s="7" t="s">
        <v>463</v>
      </c>
      <c r="C149" s="6" t="s">
        <v>464</v>
      </c>
      <c r="D149" s="7" t="s">
        <v>1066</v>
      </c>
      <c r="E149" s="7" t="s">
        <v>1067</v>
      </c>
      <c r="F149" s="7" t="s">
        <v>1068</v>
      </c>
      <c r="G149" s="7" t="s">
        <v>1069</v>
      </c>
      <c r="H149" s="4" t="s">
        <v>1070</v>
      </c>
    </row>
    <row r="150" spans="1:8" ht="75" x14ac:dyDescent="0.2">
      <c r="A150" s="6">
        <v>146</v>
      </c>
      <c r="B150" s="7" t="s">
        <v>466</v>
      </c>
      <c r="C150" s="6" t="s">
        <v>467</v>
      </c>
      <c r="D150" s="7" t="s">
        <v>1071</v>
      </c>
      <c r="E150" s="7" t="s">
        <v>1072</v>
      </c>
      <c r="F150" s="7" t="s">
        <v>489</v>
      </c>
      <c r="G150" s="7" t="s">
        <v>1073</v>
      </c>
      <c r="H150" s="4" t="s">
        <v>1074</v>
      </c>
    </row>
    <row r="151" spans="1:8" ht="75" x14ac:dyDescent="0.2">
      <c r="A151" s="6">
        <v>147</v>
      </c>
      <c r="B151" s="7" t="s">
        <v>469</v>
      </c>
      <c r="C151" s="6" t="s">
        <v>470</v>
      </c>
      <c r="D151" s="7" t="s">
        <v>1075</v>
      </c>
      <c r="E151" s="7" t="s">
        <v>1076</v>
      </c>
      <c r="F151" s="7" t="s">
        <v>489</v>
      </c>
      <c r="G151" s="7" t="s">
        <v>498</v>
      </c>
      <c r="H151" s="4" t="s">
        <v>1077</v>
      </c>
    </row>
    <row r="152" spans="1:8" ht="150" x14ac:dyDescent="0.2">
      <c r="A152" s="6">
        <v>148</v>
      </c>
      <c r="B152" s="7" t="s">
        <v>472</v>
      </c>
      <c r="C152" s="6" t="s">
        <v>473</v>
      </c>
      <c r="D152" s="7" t="s">
        <v>1078</v>
      </c>
      <c r="E152" s="7" t="s">
        <v>1079</v>
      </c>
      <c r="F152" s="7" t="s">
        <v>489</v>
      </c>
      <c r="G152" s="7" t="s">
        <v>1080</v>
      </c>
      <c r="H152" s="4" t="s">
        <v>1081</v>
      </c>
    </row>
    <row r="153" spans="1:8" ht="105" x14ac:dyDescent="0.2">
      <c r="A153" s="6">
        <v>149</v>
      </c>
      <c r="B153" s="7" t="s">
        <v>475</v>
      </c>
      <c r="C153" s="6" t="s">
        <v>476</v>
      </c>
      <c r="D153" s="7" t="s">
        <v>1082</v>
      </c>
      <c r="E153" s="7" t="s">
        <v>1083</v>
      </c>
      <c r="F153" s="7" t="s">
        <v>489</v>
      </c>
      <c r="G153" s="7" t="s">
        <v>1084</v>
      </c>
      <c r="H153" s="4" t="s">
        <v>1085</v>
      </c>
    </row>
    <row r="154" spans="1:8" ht="105" x14ac:dyDescent="0.2">
      <c r="A154" s="6">
        <v>150</v>
      </c>
      <c r="B154" s="7" t="s">
        <v>478</v>
      </c>
      <c r="C154" s="6" t="s">
        <v>479</v>
      </c>
      <c r="D154" s="7" t="s">
        <v>1086</v>
      </c>
      <c r="E154" s="7" t="s">
        <v>1087</v>
      </c>
      <c r="F154" s="7" t="s">
        <v>489</v>
      </c>
      <c r="G154" s="7" t="s">
        <v>1088</v>
      </c>
      <c r="H154" s="4" t="s">
        <v>1089</v>
      </c>
    </row>
  </sheetData>
  <hyperlinks>
    <hyperlink ref="H5" r:id="rId1" xr:uid="{00000000-0004-0000-0100-000000000000}"/>
    <hyperlink ref="H6" r:id="rId2" xr:uid="{00000000-0004-0000-0100-000001000000}"/>
    <hyperlink ref="H7" r:id="rId3" xr:uid="{00000000-0004-0000-0100-000002000000}"/>
    <hyperlink ref="H8" r:id="rId4" xr:uid="{00000000-0004-0000-0100-000003000000}"/>
    <hyperlink ref="H9" r:id="rId5" xr:uid="{00000000-0004-0000-0100-000004000000}"/>
    <hyperlink ref="H10" r:id="rId6" xr:uid="{00000000-0004-0000-0100-000005000000}"/>
    <hyperlink ref="H11" r:id="rId7" xr:uid="{00000000-0004-0000-0100-000006000000}"/>
    <hyperlink ref="H12" r:id="rId8" xr:uid="{00000000-0004-0000-0100-000007000000}"/>
    <hyperlink ref="H13" r:id="rId9" xr:uid="{00000000-0004-0000-0100-000008000000}"/>
    <hyperlink ref="H14" r:id="rId10" xr:uid="{00000000-0004-0000-0100-000009000000}"/>
    <hyperlink ref="H15" r:id="rId11" xr:uid="{00000000-0004-0000-0100-00000A000000}"/>
    <hyperlink ref="H16" r:id="rId12" xr:uid="{00000000-0004-0000-0100-00000B000000}"/>
    <hyperlink ref="H17" r:id="rId13" xr:uid="{00000000-0004-0000-0100-00000C000000}"/>
    <hyperlink ref="H18" r:id="rId14" xr:uid="{00000000-0004-0000-0100-00000D000000}"/>
    <hyperlink ref="H19" r:id="rId15" xr:uid="{00000000-0004-0000-0100-00000E000000}"/>
    <hyperlink ref="H20" r:id="rId16" xr:uid="{00000000-0004-0000-0100-00000F000000}"/>
    <hyperlink ref="H21" r:id="rId17" xr:uid="{00000000-0004-0000-0100-000010000000}"/>
    <hyperlink ref="H22" r:id="rId18" xr:uid="{00000000-0004-0000-0100-000011000000}"/>
    <hyperlink ref="H23" r:id="rId19" xr:uid="{00000000-0004-0000-0100-000012000000}"/>
    <hyperlink ref="H24" r:id="rId20" xr:uid="{00000000-0004-0000-0100-000013000000}"/>
    <hyperlink ref="H25" r:id="rId21" xr:uid="{00000000-0004-0000-0100-000014000000}"/>
    <hyperlink ref="H26" r:id="rId22" xr:uid="{00000000-0004-0000-0100-000015000000}"/>
    <hyperlink ref="H27" r:id="rId23" xr:uid="{00000000-0004-0000-0100-000016000000}"/>
    <hyperlink ref="H28" r:id="rId24" xr:uid="{00000000-0004-0000-0100-000017000000}"/>
    <hyperlink ref="H29" r:id="rId25" xr:uid="{00000000-0004-0000-0100-000018000000}"/>
    <hyperlink ref="H30" r:id="rId26" xr:uid="{00000000-0004-0000-0100-000019000000}"/>
    <hyperlink ref="H31" r:id="rId27" xr:uid="{00000000-0004-0000-0100-00001A000000}"/>
    <hyperlink ref="H32" r:id="rId28" xr:uid="{00000000-0004-0000-0100-00001B000000}"/>
    <hyperlink ref="H33" r:id="rId29" xr:uid="{00000000-0004-0000-0100-00001C000000}"/>
    <hyperlink ref="H34" r:id="rId30" xr:uid="{00000000-0004-0000-0100-00001D000000}"/>
    <hyperlink ref="H35" r:id="rId31" xr:uid="{00000000-0004-0000-0100-00001E000000}"/>
    <hyperlink ref="H36" r:id="rId32" xr:uid="{00000000-0004-0000-0100-00001F000000}"/>
    <hyperlink ref="H37" r:id="rId33" xr:uid="{00000000-0004-0000-0100-000020000000}"/>
    <hyperlink ref="H38" r:id="rId34" xr:uid="{00000000-0004-0000-0100-000021000000}"/>
    <hyperlink ref="H39" r:id="rId35" xr:uid="{00000000-0004-0000-0100-000022000000}"/>
    <hyperlink ref="H40" r:id="rId36" xr:uid="{00000000-0004-0000-0100-000023000000}"/>
    <hyperlink ref="H41" r:id="rId37" xr:uid="{00000000-0004-0000-0100-000024000000}"/>
    <hyperlink ref="H42" r:id="rId38" xr:uid="{00000000-0004-0000-0100-000025000000}"/>
    <hyperlink ref="H43" r:id="rId39" xr:uid="{00000000-0004-0000-0100-000026000000}"/>
    <hyperlink ref="H44" r:id="rId40" xr:uid="{00000000-0004-0000-0100-000027000000}"/>
    <hyperlink ref="H45" r:id="rId41" xr:uid="{00000000-0004-0000-0100-000028000000}"/>
    <hyperlink ref="H46" r:id="rId42" xr:uid="{00000000-0004-0000-0100-000029000000}"/>
    <hyperlink ref="H47" r:id="rId43" xr:uid="{00000000-0004-0000-0100-00002A000000}"/>
    <hyperlink ref="H48" r:id="rId44" xr:uid="{00000000-0004-0000-0100-00002B000000}"/>
    <hyperlink ref="H49" r:id="rId45" xr:uid="{00000000-0004-0000-0100-00002C000000}"/>
    <hyperlink ref="H50" r:id="rId46" xr:uid="{00000000-0004-0000-0100-00002D000000}"/>
    <hyperlink ref="H51" r:id="rId47" xr:uid="{00000000-0004-0000-0100-00002E000000}"/>
    <hyperlink ref="H52" r:id="rId48" xr:uid="{00000000-0004-0000-0100-00002F000000}"/>
    <hyperlink ref="H53" r:id="rId49" xr:uid="{00000000-0004-0000-0100-000030000000}"/>
    <hyperlink ref="H54" r:id="rId50" xr:uid="{00000000-0004-0000-0100-000031000000}"/>
    <hyperlink ref="H55" r:id="rId51" xr:uid="{00000000-0004-0000-0100-000032000000}"/>
    <hyperlink ref="H56" r:id="rId52" xr:uid="{00000000-0004-0000-0100-000033000000}"/>
    <hyperlink ref="H57" r:id="rId53" xr:uid="{00000000-0004-0000-0100-000034000000}"/>
    <hyperlink ref="H58" r:id="rId54" xr:uid="{00000000-0004-0000-0100-000035000000}"/>
    <hyperlink ref="H59" r:id="rId55" xr:uid="{00000000-0004-0000-0100-000036000000}"/>
    <hyperlink ref="H60" r:id="rId56" xr:uid="{00000000-0004-0000-0100-000037000000}"/>
    <hyperlink ref="H61" r:id="rId57" xr:uid="{00000000-0004-0000-0100-000038000000}"/>
    <hyperlink ref="H62" r:id="rId58" xr:uid="{00000000-0004-0000-0100-000039000000}"/>
    <hyperlink ref="H63" r:id="rId59" xr:uid="{00000000-0004-0000-0100-00003A000000}"/>
    <hyperlink ref="H64" r:id="rId60" xr:uid="{00000000-0004-0000-0100-00003B000000}"/>
    <hyperlink ref="H65" r:id="rId61" xr:uid="{00000000-0004-0000-0100-00003C000000}"/>
    <hyperlink ref="H66" r:id="rId62" xr:uid="{00000000-0004-0000-0100-00003D000000}"/>
    <hyperlink ref="H67" r:id="rId63" xr:uid="{00000000-0004-0000-0100-00003E000000}"/>
    <hyperlink ref="H68" r:id="rId64" xr:uid="{00000000-0004-0000-0100-00003F000000}"/>
    <hyperlink ref="H69" r:id="rId65" xr:uid="{00000000-0004-0000-0100-000040000000}"/>
    <hyperlink ref="H70" r:id="rId66" xr:uid="{00000000-0004-0000-0100-000041000000}"/>
    <hyperlink ref="H71" r:id="rId67" xr:uid="{00000000-0004-0000-0100-000042000000}"/>
    <hyperlink ref="H72" r:id="rId68" xr:uid="{00000000-0004-0000-0100-000043000000}"/>
    <hyperlink ref="H73" r:id="rId69" xr:uid="{00000000-0004-0000-0100-000044000000}"/>
    <hyperlink ref="H74" r:id="rId70" xr:uid="{00000000-0004-0000-0100-000045000000}"/>
    <hyperlink ref="H75" r:id="rId71" xr:uid="{00000000-0004-0000-0100-000046000000}"/>
    <hyperlink ref="H76" r:id="rId72" xr:uid="{00000000-0004-0000-0100-000047000000}"/>
    <hyperlink ref="H77" r:id="rId73" xr:uid="{00000000-0004-0000-0100-000048000000}"/>
    <hyperlink ref="H78" r:id="rId74" xr:uid="{00000000-0004-0000-0100-000049000000}"/>
    <hyperlink ref="H79" r:id="rId75" xr:uid="{00000000-0004-0000-0100-00004A000000}"/>
    <hyperlink ref="H80" r:id="rId76" xr:uid="{00000000-0004-0000-0100-00004B000000}"/>
    <hyperlink ref="H81" r:id="rId77" xr:uid="{00000000-0004-0000-0100-00004C000000}"/>
    <hyperlink ref="H82" r:id="rId78" xr:uid="{00000000-0004-0000-0100-00004D000000}"/>
    <hyperlink ref="H83" r:id="rId79" xr:uid="{00000000-0004-0000-0100-00004E000000}"/>
    <hyperlink ref="H84" r:id="rId80" xr:uid="{00000000-0004-0000-0100-00004F000000}"/>
    <hyperlink ref="H85" r:id="rId81" xr:uid="{00000000-0004-0000-0100-000050000000}"/>
    <hyperlink ref="H86" r:id="rId82" xr:uid="{00000000-0004-0000-0100-000051000000}"/>
    <hyperlink ref="H87" r:id="rId83" xr:uid="{00000000-0004-0000-0100-000052000000}"/>
    <hyperlink ref="H88" r:id="rId84" xr:uid="{00000000-0004-0000-0100-000053000000}"/>
    <hyperlink ref="H89" r:id="rId85" xr:uid="{00000000-0004-0000-0100-000054000000}"/>
    <hyperlink ref="H91" r:id="rId86" xr:uid="{00000000-0004-0000-0100-000055000000}"/>
    <hyperlink ref="H92" r:id="rId87" xr:uid="{00000000-0004-0000-0100-000056000000}"/>
    <hyperlink ref="H93" r:id="rId88" xr:uid="{00000000-0004-0000-0100-000057000000}"/>
    <hyperlink ref="H94" r:id="rId89" xr:uid="{00000000-0004-0000-0100-000058000000}"/>
    <hyperlink ref="H95" r:id="rId90" xr:uid="{00000000-0004-0000-0100-000059000000}"/>
    <hyperlink ref="H96" r:id="rId91" xr:uid="{00000000-0004-0000-0100-00005A000000}"/>
    <hyperlink ref="H97" r:id="rId92" xr:uid="{00000000-0004-0000-0100-00005B000000}"/>
    <hyperlink ref="H98" r:id="rId93" xr:uid="{00000000-0004-0000-0100-00005C000000}"/>
    <hyperlink ref="H99" r:id="rId94" xr:uid="{00000000-0004-0000-0100-00005D000000}"/>
    <hyperlink ref="H100" r:id="rId95" xr:uid="{00000000-0004-0000-0100-00005E000000}"/>
    <hyperlink ref="H101" r:id="rId96" xr:uid="{00000000-0004-0000-0100-00005F000000}"/>
    <hyperlink ref="H102" r:id="rId97" xr:uid="{00000000-0004-0000-0100-000060000000}"/>
    <hyperlink ref="H103" r:id="rId98" xr:uid="{00000000-0004-0000-0100-000061000000}"/>
    <hyperlink ref="H104" r:id="rId99" xr:uid="{00000000-0004-0000-0100-000062000000}"/>
    <hyperlink ref="H105" r:id="rId100" xr:uid="{00000000-0004-0000-0100-000063000000}"/>
    <hyperlink ref="H106" r:id="rId101" xr:uid="{00000000-0004-0000-0100-000064000000}"/>
    <hyperlink ref="H107" r:id="rId102" xr:uid="{00000000-0004-0000-0100-000065000000}"/>
    <hyperlink ref="H108" r:id="rId103" xr:uid="{00000000-0004-0000-0100-000066000000}"/>
    <hyperlink ref="H109" r:id="rId104" xr:uid="{00000000-0004-0000-0100-000067000000}"/>
    <hyperlink ref="H110" r:id="rId105" xr:uid="{00000000-0004-0000-0100-000068000000}"/>
    <hyperlink ref="H111" r:id="rId106" xr:uid="{00000000-0004-0000-0100-000069000000}"/>
    <hyperlink ref="H112" r:id="rId107" xr:uid="{00000000-0004-0000-0100-00006A000000}"/>
    <hyperlink ref="H113" r:id="rId108" xr:uid="{00000000-0004-0000-0100-00006B000000}"/>
    <hyperlink ref="H114" r:id="rId109" xr:uid="{00000000-0004-0000-0100-00006C000000}"/>
    <hyperlink ref="H115" r:id="rId110" xr:uid="{00000000-0004-0000-0100-00006D000000}"/>
    <hyperlink ref="H116" r:id="rId111" xr:uid="{00000000-0004-0000-0100-00006E000000}"/>
    <hyperlink ref="H117" r:id="rId112" xr:uid="{00000000-0004-0000-0100-00006F000000}"/>
    <hyperlink ref="H118" r:id="rId113" xr:uid="{00000000-0004-0000-0100-000070000000}"/>
    <hyperlink ref="H119" r:id="rId114" xr:uid="{00000000-0004-0000-0100-000071000000}"/>
    <hyperlink ref="H120" r:id="rId115" xr:uid="{00000000-0004-0000-0100-000072000000}"/>
    <hyperlink ref="H121" r:id="rId116" xr:uid="{00000000-0004-0000-0100-000073000000}"/>
    <hyperlink ref="H122" r:id="rId117" xr:uid="{00000000-0004-0000-0100-000074000000}"/>
    <hyperlink ref="H123" r:id="rId118" xr:uid="{00000000-0004-0000-0100-000075000000}"/>
    <hyperlink ref="H124" r:id="rId119" xr:uid="{00000000-0004-0000-0100-000076000000}"/>
    <hyperlink ref="H125" r:id="rId120" xr:uid="{00000000-0004-0000-0100-000077000000}"/>
    <hyperlink ref="H126" r:id="rId121" xr:uid="{00000000-0004-0000-0100-000078000000}"/>
    <hyperlink ref="H127" r:id="rId122" xr:uid="{00000000-0004-0000-0100-000079000000}"/>
    <hyperlink ref="H128" r:id="rId123" xr:uid="{00000000-0004-0000-0100-00007A000000}"/>
    <hyperlink ref="H129" r:id="rId124" xr:uid="{00000000-0004-0000-0100-00007B000000}"/>
    <hyperlink ref="H130" r:id="rId125" xr:uid="{00000000-0004-0000-0100-00007C000000}"/>
    <hyperlink ref="H131" r:id="rId126" xr:uid="{00000000-0004-0000-0100-00007D000000}"/>
    <hyperlink ref="H132" r:id="rId127" xr:uid="{00000000-0004-0000-0100-00007E000000}"/>
    <hyperlink ref="H133" r:id="rId128" xr:uid="{00000000-0004-0000-0100-00007F000000}"/>
    <hyperlink ref="H134" r:id="rId129" xr:uid="{00000000-0004-0000-0100-000080000000}"/>
    <hyperlink ref="H135" r:id="rId130" xr:uid="{00000000-0004-0000-0100-000081000000}"/>
    <hyperlink ref="H136" r:id="rId131" xr:uid="{00000000-0004-0000-0100-000082000000}"/>
    <hyperlink ref="H137" r:id="rId132" xr:uid="{00000000-0004-0000-0100-000083000000}"/>
    <hyperlink ref="H138" r:id="rId133" xr:uid="{00000000-0004-0000-0100-000084000000}"/>
    <hyperlink ref="H139" r:id="rId134" xr:uid="{00000000-0004-0000-0100-000085000000}"/>
    <hyperlink ref="H140" r:id="rId135" xr:uid="{00000000-0004-0000-0100-000086000000}"/>
    <hyperlink ref="H141" r:id="rId136" xr:uid="{00000000-0004-0000-0100-000087000000}"/>
    <hyperlink ref="H142" r:id="rId137" xr:uid="{00000000-0004-0000-0100-000088000000}"/>
    <hyperlink ref="H143" r:id="rId138" xr:uid="{00000000-0004-0000-0100-000089000000}"/>
    <hyperlink ref="H144" r:id="rId139" xr:uid="{00000000-0004-0000-0100-00008A000000}"/>
    <hyperlink ref="H145" r:id="rId140" xr:uid="{00000000-0004-0000-0100-00008B000000}"/>
    <hyperlink ref="H146" r:id="rId141" xr:uid="{00000000-0004-0000-0100-00008C000000}"/>
    <hyperlink ref="H147" r:id="rId142" xr:uid="{00000000-0004-0000-0100-00008D000000}"/>
    <hyperlink ref="H148" r:id="rId143" xr:uid="{00000000-0004-0000-0100-00008E000000}"/>
    <hyperlink ref="H149" r:id="rId144" xr:uid="{00000000-0004-0000-0100-00008F000000}"/>
    <hyperlink ref="H150" r:id="rId145" xr:uid="{00000000-0004-0000-0100-000090000000}"/>
    <hyperlink ref="H151" r:id="rId146" xr:uid="{00000000-0004-0000-0100-000091000000}"/>
    <hyperlink ref="H152" r:id="rId147" xr:uid="{00000000-0004-0000-0100-000092000000}"/>
    <hyperlink ref="H153" r:id="rId148" xr:uid="{00000000-0004-0000-0100-000093000000}"/>
    <hyperlink ref="H154" r:id="rId149" xr:uid="{00000000-0004-0000-0100-000094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54"/>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customHeight="1" x14ac:dyDescent="0.2"/>
  <cols>
    <col min="1" max="1" width="5" customWidth="1"/>
    <col min="2" max="2" width="32" customWidth="1"/>
    <col min="3" max="3" width="14" customWidth="1"/>
    <col min="4" max="14" width="11" customWidth="1"/>
  </cols>
  <sheetData>
    <row r="2" spans="1:14" ht="21" x14ac:dyDescent="0.25">
      <c r="B2" s="1" t="s">
        <v>1090</v>
      </c>
    </row>
    <row r="4" spans="1:14" ht="27.75" customHeight="1" x14ac:dyDescent="0.2">
      <c r="A4" s="5" t="s">
        <v>8</v>
      </c>
      <c r="B4" s="5" t="s">
        <v>9</v>
      </c>
      <c r="C4" s="5" t="s">
        <v>10</v>
      </c>
      <c r="D4" s="5" t="s">
        <v>1091</v>
      </c>
      <c r="E4" s="5" t="s">
        <v>1092</v>
      </c>
      <c r="F4" s="5" t="s">
        <v>1093</v>
      </c>
      <c r="G4" s="5" t="s">
        <v>1094</v>
      </c>
      <c r="H4" s="5" t="s">
        <v>1095</v>
      </c>
      <c r="I4" s="5" t="s">
        <v>1096</v>
      </c>
      <c r="J4" s="5" t="s">
        <v>1097</v>
      </c>
      <c r="K4" s="5" t="s">
        <v>1098</v>
      </c>
      <c r="L4" s="5" t="s">
        <v>1099</v>
      </c>
      <c r="M4" s="5" t="s">
        <v>1100</v>
      </c>
      <c r="N4" s="5" t="s">
        <v>1101</v>
      </c>
    </row>
    <row r="5" spans="1:14" x14ac:dyDescent="0.2">
      <c r="A5" s="6">
        <v>1</v>
      </c>
      <c r="B5" s="7" t="s">
        <v>25</v>
      </c>
      <c r="C5" s="6" t="s">
        <v>26</v>
      </c>
      <c r="D5" s="8">
        <v>494.3</v>
      </c>
      <c r="E5" s="8">
        <v>557.1</v>
      </c>
      <c r="F5" s="8">
        <v>623.29999999999995</v>
      </c>
      <c r="G5" s="8">
        <v>650.5</v>
      </c>
      <c r="H5" s="8">
        <v>666.7</v>
      </c>
      <c r="I5" s="8">
        <v>773.4</v>
      </c>
      <c r="J5" s="8">
        <v>827.8</v>
      </c>
      <c r="K5" s="8">
        <v>874.6</v>
      </c>
      <c r="L5" s="8">
        <v>935.3</v>
      </c>
      <c r="M5" s="8">
        <v>989.9</v>
      </c>
      <c r="N5" s="10">
        <f t="shared" ref="N5:N36" si="0">IF(D5=0,"N/A",(M5/D5)-1)</f>
        <v>1.0026299817924338</v>
      </c>
    </row>
    <row r="6" spans="1:14" x14ac:dyDescent="0.2">
      <c r="A6" s="6">
        <v>2</v>
      </c>
      <c r="B6" s="7" t="s">
        <v>30</v>
      </c>
      <c r="C6" s="6" t="s">
        <v>31</v>
      </c>
      <c r="D6" s="8">
        <v>324.8</v>
      </c>
      <c r="E6" s="8">
        <v>370.1</v>
      </c>
      <c r="F6" s="8">
        <v>417.6</v>
      </c>
      <c r="G6" s="8">
        <v>451.4</v>
      </c>
      <c r="H6" s="8">
        <v>508.4</v>
      </c>
      <c r="I6" s="8">
        <v>565.9</v>
      </c>
      <c r="J6" s="8">
        <v>590.9</v>
      </c>
      <c r="K6" s="8">
        <v>624</v>
      </c>
      <c r="L6" s="8">
        <v>687.4</v>
      </c>
      <c r="M6" s="8">
        <v>751.6</v>
      </c>
      <c r="N6" s="10">
        <f t="shared" si="0"/>
        <v>1.3140394088669951</v>
      </c>
    </row>
    <row r="7" spans="1:14" x14ac:dyDescent="0.2">
      <c r="A7" s="6">
        <v>3</v>
      </c>
      <c r="B7" s="7" t="s">
        <v>34</v>
      </c>
      <c r="C7" s="6" t="s">
        <v>35</v>
      </c>
      <c r="D7" s="8">
        <v>142.19999999999999</v>
      </c>
      <c r="E7" s="8">
        <v>214.2</v>
      </c>
      <c r="F7" s="8">
        <v>309.89999999999998</v>
      </c>
      <c r="G7" s="8">
        <v>414.5</v>
      </c>
      <c r="H7" s="8">
        <v>393.4</v>
      </c>
      <c r="I7" s="8">
        <v>431.1</v>
      </c>
      <c r="J7" s="8">
        <v>529.29999999999995</v>
      </c>
      <c r="K7" s="8">
        <v>861.5</v>
      </c>
      <c r="L7" s="8">
        <v>827.7</v>
      </c>
      <c r="M7" s="8">
        <v>851.9</v>
      </c>
      <c r="N7" s="10">
        <f t="shared" si="0"/>
        <v>4.9908579465541498</v>
      </c>
    </row>
    <row r="8" spans="1:14" x14ac:dyDescent="0.2">
      <c r="A8" s="6">
        <v>4</v>
      </c>
      <c r="B8" s="7" t="s">
        <v>39</v>
      </c>
      <c r="C8" s="6" t="s">
        <v>40</v>
      </c>
      <c r="D8" s="8">
        <v>274.5</v>
      </c>
      <c r="E8" s="8">
        <v>301.60000000000002</v>
      </c>
      <c r="F8" s="8">
        <v>501</v>
      </c>
      <c r="G8" s="8">
        <v>713.7</v>
      </c>
      <c r="H8" s="8">
        <v>934.8</v>
      </c>
      <c r="I8" s="8">
        <v>1526.1</v>
      </c>
      <c r="J8" s="8">
        <v>1598.6</v>
      </c>
      <c r="K8" s="8">
        <v>1072.0999999999999</v>
      </c>
      <c r="L8" s="8">
        <v>602.5</v>
      </c>
      <c r="M8" s="8">
        <v>385.8</v>
      </c>
      <c r="N8" s="10">
        <f t="shared" si="0"/>
        <v>0.40546448087431708</v>
      </c>
    </row>
    <row r="9" spans="1:14" x14ac:dyDescent="0.2">
      <c r="A9" s="6">
        <v>5</v>
      </c>
      <c r="B9" s="7" t="s">
        <v>42</v>
      </c>
      <c r="C9" s="6" t="s">
        <v>43</v>
      </c>
      <c r="D9" s="8">
        <v>124.6</v>
      </c>
      <c r="E9" s="8">
        <v>130.6</v>
      </c>
      <c r="F9" s="8">
        <v>137.30000000000001</v>
      </c>
      <c r="G9" s="8">
        <v>142.5</v>
      </c>
      <c r="H9" s="8">
        <v>164</v>
      </c>
      <c r="I9" s="8">
        <v>182.1</v>
      </c>
      <c r="J9" s="8">
        <v>194</v>
      </c>
      <c r="K9" s="8">
        <v>191.5</v>
      </c>
      <c r="L9" s="8">
        <v>194.5</v>
      </c>
      <c r="M9" s="8">
        <v>196.5</v>
      </c>
      <c r="N9" s="10">
        <f t="shared" si="0"/>
        <v>0.57704654895666141</v>
      </c>
    </row>
    <row r="10" spans="1:14" ht="30" x14ac:dyDescent="0.2">
      <c r="A10" s="6">
        <v>6</v>
      </c>
      <c r="B10" s="7" t="s">
        <v>45</v>
      </c>
      <c r="C10" s="6" t="s">
        <v>46</v>
      </c>
      <c r="D10" s="8">
        <v>255.2</v>
      </c>
      <c r="E10" s="8">
        <v>240.2</v>
      </c>
      <c r="F10" s="8">
        <v>294.7</v>
      </c>
      <c r="G10" s="8">
        <v>322.39999999999998</v>
      </c>
      <c r="H10" s="8">
        <v>349.8</v>
      </c>
      <c r="I10" s="8">
        <v>437.8</v>
      </c>
      <c r="J10" s="8">
        <v>499</v>
      </c>
      <c r="K10" s="8">
        <v>644.4</v>
      </c>
      <c r="L10" s="8">
        <v>732</v>
      </c>
      <c r="M10" s="8">
        <v>719.9</v>
      </c>
      <c r="N10" s="10">
        <f t="shared" si="0"/>
        <v>1.820924764890282</v>
      </c>
    </row>
    <row r="11" spans="1:14" x14ac:dyDescent="0.2">
      <c r="A11" s="6">
        <v>7</v>
      </c>
      <c r="B11" s="7" t="s">
        <v>48</v>
      </c>
      <c r="C11" s="6" t="s">
        <v>49</v>
      </c>
      <c r="D11" s="8">
        <v>293.8</v>
      </c>
      <c r="E11" s="8">
        <v>412.6</v>
      </c>
      <c r="F11" s="8">
        <v>585.6</v>
      </c>
      <c r="G11" s="8">
        <v>744</v>
      </c>
      <c r="H11" s="8">
        <v>649.5</v>
      </c>
      <c r="I11" s="8">
        <v>856.7</v>
      </c>
      <c r="J11" s="8">
        <v>847.4</v>
      </c>
      <c r="K11" s="8">
        <v>960.9</v>
      </c>
      <c r="L11" s="8">
        <v>917.1</v>
      </c>
      <c r="M11" s="8">
        <v>1067.7</v>
      </c>
      <c r="N11" s="10">
        <f t="shared" si="0"/>
        <v>2.6341048332198773</v>
      </c>
    </row>
    <row r="12" spans="1:14" x14ac:dyDescent="0.2">
      <c r="A12" s="6">
        <v>8</v>
      </c>
      <c r="B12" s="7" t="s">
        <v>51</v>
      </c>
      <c r="C12" s="6" t="s">
        <v>52</v>
      </c>
      <c r="D12" s="8">
        <v>20.6</v>
      </c>
      <c r="E12" s="8">
        <v>25.8</v>
      </c>
      <c r="F12" s="8">
        <v>30.1</v>
      </c>
      <c r="G12" s="8">
        <v>35.799999999999997</v>
      </c>
      <c r="H12" s="8">
        <v>42.9</v>
      </c>
      <c r="I12" s="8">
        <v>48.2</v>
      </c>
      <c r="J12" s="8">
        <v>53.5</v>
      </c>
      <c r="K12" s="8">
        <v>62.1</v>
      </c>
      <c r="L12" s="8">
        <v>74.400000000000006</v>
      </c>
      <c r="M12" s="8">
        <v>78.7</v>
      </c>
      <c r="N12" s="10">
        <f t="shared" si="0"/>
        <v>2.820388349514563</v>
      </c>
    </row>
    <row r="13" spans="1:14" x14ac:dyDescent="0.2">
      <c r="A13" s="6">
        <v>9</v>
      </c>
      <c r="B13" s="7" t="s">
        <v>55</v>
      </c>
      <c r="C13" s="6" t="s">
        <v>56</v>
      </c>
      <c r="D13" s="8">
        <v>55.9</v>
      </c>
      <c r="E13" s="8">
        <v>59.3</v>
      </c>
      <c r="F13" s="8">
        <v>53.6</v>
      </c>
      <c r="G13" s="8">
        <v>60.5</v>
      </c>
      <c r="H13" s="8">
        <v>54.2</v>
      </c>
      <c r="I13" s="8">
        <v>50.7</v>
      </c>
      <c r="J13" s="8">
        <v>53.5</v>
      </c>
      <c r="K13" s="8">
        <v>73.2</v>
      </c>
      <c r="L13" s="8">
        <v>89</v>
      </c>
      <c r="M13" s="8">
        <v>92</v>
      </c>
      <c r="N13" s="10">
        <f t="shared" si="0"/>
        <v>0.64579606440071569</v>
      </c>
    </row>
    <row r="14" spans="1:14" x14ac:dyDescent="0.2">
      <c r="A14" s="6">
        <v>10</v>
      </c>
      <c r="B14" s="7" t="s">
        <v>58</v>
      </c>
      <c r="C14" s="6" t="s">
        <v>59</v>
      </c>
      <c r="D14" s="8">
        <v>192.1</v>
      </c>
      <c r="E14" s="8">
        <v>214.9</v>
      </c>
      <c r="F14" s="8">
        <v>231.6</v>
      </c>
      <c r="G14" s="8">
        <v>254.1</v>
      </c>
      <c r="H14" s="8">
        <v>244.8</v>
      </c>
      <c r="I14" s="8">
        <v>256.7</v>
      </c>
      <c r="J14" s="8">
        <v>266.8</v>
      </c>
      <c r="K14" s="8">
        <v>279.10000000000002</v>
      </c>
      <c r="L14" s="8">
        <v>291.60000000000002</v>
      </c>
      <c r="M14" s="8">
        <v>304.10000000000002</v>
      </c>
      <c r="N14" s="10">
        <f t="shared" si="0"/>
        <v>0.58302967204580969</v>
      </c>
    </row>
    <row r="15" spans="1:14" x14ac:dyDescent="0.2">
      <c r="A15" s="6">
        <v>11</v>
      </c>
      <c r="B15" s="7" t="s">
        <v>61</v>
      </c>
      <c r="C15" s="6" t="s">
        <v>62</v>
      </c>
      <c r="D15" s="8">
        <v>1.79</v>
      </c>
      <c r="E15" s="8">
        <v>2.25</v>
      </c>
      <c r="F15" s="8">
        <v>2.4700000000000002</v>
      </c>
      <c r="G15" s="8">
        <v>3.13</v>
      </c>
      <c r="H15" s="8">
        <v>3.57</v>
      </c>
      <c r="I15" s="8">
        <v>4.01</v>
      </c>
      <c r="J15" s="8">
        <v>3.96</v>
      </c>
      <c r="K15" s="8">
        <v>4.3899999999999997</v>
      </c>
      <c r="L15" s="8">
        <v>4.91</v>
      </c>
      <c r="M15" s="8">
        <v>5.63</v>
      </c>
      <c r="N15" s="10">
        <f t="shared" si="0"/>
        <v>2.1452513966480447</v>
      </c>
    </row>
    <row r="16" spans="1:14" ht="30" x14ac:dyDescent="0.2">
      <c r="A16" s="6">
        <v>12</v>
      </c>
      <c r="B16" s="7" t="s">
        <v>64</v>
      </c>
      <c r="C16" s="6" t="s">
        <v>65</v>
      </c>
      <c r="D16" s="8">
        <v>86.2</v>
      </c>
      <c r="E16" s="8">
        <v>101.6</v>
      </c>
      <c r="F16" s="8">
        <v>106.7</v>
      </c>
      <c r="G16" s="8">
        <v>114.6</v>
      </c>
      <c r="H16" s="8">
        <v>116.3</v>
      </c>
      <c r="I16" s="8">
        <v>150.19999999999999</v>
      </c>
      <c r="J16" s="8">
        <v>166.9</v>
      </c>
      <c r="K16" s="8">
        <v>180.4</v>
      </c>
      <c r="L16" s="8">
        <v>170.2</v>
      </c>
      <c r="M16" s="8">
        <v>205.2</v>
      </c>
      <c r="N16" s="10">
        <f t="shared" si="0"/>
        <v>1.3805104408352666</v>
      </c>
    </row>
    <row r="17" spans="1:14" ht="30" x14ac:dyDescent="0.2">
      <c r="A17" s="6">
        <v>13</v>
      </c>
      <c r="B17" s="7" t="s">
        <v>67</v>
      </c>
      <c r="C17" s="6" t="s">
        <v>68</v>
      </c>
      <c r="D17" s="8">
        <v>58.8</v>
      </c>
      <c r="E17" s="8">
        <v>72.400000000000006</v>
      </c>
      <c r="F17" s="8">
        <v>124.1</v>
      </c>
      <c r="G17" s="8">
        <v>111.5</v>
      </c>
      <c r="H17" s="8">
        <v>62.1</v>
      </c>
      <c r="I17" s="8">
        <v>65.7</v>
      </c>
      <c r="J17" s="8">
        <v>142.9</v>
      </c>
      <c r="K17" s="8">
        <v>111.7</v>
      </c>
      <c r="L17" s="8">
        <v>210.1</v>
      </c>
      <c r="M17" s="8">
        <v>196.2</v>
      </c>
      <c r="N17" s="10">
        <f t="shared" si="0"/>
        <v>2.3367346938775508</v>
      </c>
    </row>
    <row r="18" spans="1:14" x14ac:dyDescent="0.2">
      <c r="A18" s="6">
        <v>14</v>
      </c>
      <c r="B18" s="7" t="s">
        <v>70</v>
      </c>
      <c r="C18" s="6" t="s">
        <v>71</v>
      </c>
      <c r="D18" s="8">
        <v>1021.1</v>
      </c>
      <c r="E18" s="8">
        <v>1054.0999999999999</v>
      </c>
      <c r="F18" s="8">
        <v>1102.0999999999999</v>
      </c>
      <c r="G18" s="8">
        <v>1123.7</v>
      </c>
      <c r="H18" s="8">
        <v>825.1</v>
      </c>
      <c r="I18" s="8">
        <v>1063.5</v>
      </c>
      <c r="J18" s="8">
        <v>1329</v>
      </c>
      <c r="K18" s="8">
        <v>1549.5</v>
      </c>
      <c r="L18" s="8">
        <v>1530.5</v>
      </c>
      <c r="M18" s="8">
        <v>1493.9</v>
      </c>
      <c r="N18" s="10">
        <f t="shared" si="0"/>
        <v>0.46303006561551263</v>
      </c>
    </row>
    <row r="19" spans="1:14" x14ac:dyDescent="0.2">
      <c r="A19" s="6">
        <v>15</v>
      </c>
      <c r="B19" s="7" t="s">
        <v>73</v>
      </c>
      <c r="C19" s="6" t="s">
        <v>74</v>
      </c>
      <c r="D19" s="8">
        <v>633.1</v>
      </c>
      <c r="E19" s="8">
        <v>626.29999999999995</v>
      </c>
      <c r="F19" s="8">
        <v>662.1</v>
      </c>
      <c r="G19" s="8">
        <v>606.70000000000005</v>
      </c>
      <c r="H19" s="8">
        <v>547.5</v>
      </c>
      <c r="I19" s="8">
        <v>623.70000000000005</v>
      </c>
      <c r="J19" s="8">
        <v>653.9</v>
      </c>
      <c r="K19" s="8">
        <v>689.2</v>
      </c>
      <c r="L19" s="8">
        <v>719.2</v>
      </c>
      <c r="M19" s="8">
        <v>723.2</v>
      </c>
      <c r="N19" s="10">
        <f t="shared" si="0"/>
        <v>0.14231558995419369</v>
      </c>
    </row>
    <row r="20" spans="1:14" x14ac:dyDescent="0.2">
      <c r="A20" s="6">
        <v>16</v>
      </c>
      <c r="B20" s="7" t="s">
        <v>76</v>
      </c>
      <c r="C20" s="6" t="s">
        <v>77</v>
      </c>
      <c r="D20" s="8">
        <v>63.4</v>
      </c>
      <c r="E20" s="8">
        <v>57.1</v>
      </c>
      <c r="F20" s="8">
        <v>35</v>
      </c>
      <c r="G20" s="8">
        <v>111</v>
      </c>
      <c r="H20" s="8">
        <v>36</v>
      </c>
      <c r="I20" s="8">
        <v>30.5</v>
      </c>
      <c r="J20" s="8">
        <v>35.1</v>
      </c>
      <c r="K20" s="8">
        <v>38.5</v>
      </c>
      <c r="L20" s="8">
        <v>33.9</v>
      </c>
      <c r="M20" s="8">
        <v>1555.9</v>
      </c>
      <c r="N20" s="10">
        <f t="shared" si="0"/>
        <v>23.5410094637224</v>
      </c>
    </row>
    <row r="21" spans="1:14" x14ac:dyDescent="0.2">
      <c r="A21" s="6">
        <v>17</v>
      </c>
      <c r="B21" s="7" t="s">
        <v>79</v>
      </c>
      <c r="C21" s="6" t="s">
        <v>80</v>
      </c>
      <c r="D21" s="8">
        <v>1480</v>
      </c>
      <c r="E21" s="8">
        <v>1556</v>
      </c>
      <c r="F21" s="8">
        <v>1615</v>
      </c>
      <c r="G21" s="8">
        <v>1560</v>
      </c>
      <c r="H21" s="8">
        <v>604</v>
      </c>
      <c r="I21" s="8">
        <v>902</v>
      </c>
      <c r="J21" s="8">
        <v>1492</v>
      </c>
      <c r="K21" s="8">
        <v>1788</v>
      </c>
      <c r="L21" s="8">
        <v>1835</v>
      </c>
      <c r="M21" s="8">
        <v>1891</v>
      </c>
      <c r="N21" s="10">
        <f t="shared" si="0"/>
        <v>0.27770270270270281</v>
      </c>
    </row>
    <row r="22" spans="1:14" ht="30" x14ac:dyDescent="0.2">
      <c r="A22" s="6">
        <v>18</v>
      </c>
      <c r="B22" s="7" t="s">
        <v>82</v>
      </c>
      <c r="C22" s="6" t="s">
        <v>83</v>
      </c>
      <c r="D22" s="8">
        <v>992.1</v>
      </c>
      <c r="E22" s="8">
        <v>1188.2</v>
      </c>
      <c r="F22" s="8">
        <v>1472.4</v>
      </c>
      <c r="G22" s="8">
        <v>1517.6</v>
      </c>
      <c r="H22" s="8">
        <v>1371.9</v>
      </c>
      <c r="I22" s="8">
        <v>1542.4</v>
      </c>
      <c r="J22" s="8">
        <v>1557.7</v>
      </c>
      <c r="K22" s="8">
        <v>1541.6</v>
      </c>
      <c r="L22" s="8">
        <v>1610.5</v>
      </c>
      <c r="M22" s="8">
        <v>1635.2</v>
      </c>
      <c r="N22" s="10">
        <f t="shared" si="0"/>
        <v>0.64822094546920672</v>
      </c>
    </row>
    <row r="23" spans="1:14" x14ac:dyDescent="0.2">
      <c r="A23" s="6">
        <v>19</v>
      </c>
      <c r="B23" s="7" t="s">
        <v>85</v>
      </c>
      <c r="C23" s="6" t="s">
        <v>86</v>
      </c>
      <c r="D23" s="8">
        <v>2963.3</v>
      </c>
      <c r="E23" s="8">
        <v>2702.5</v>
      </c>
      <c r="F23" s="8">
        <v>2660.5</v>
      </c>
      <c r="G23" s="8">
        <v>2669.9</v>
      </c>
      <c r="H23" s="8">
        <v>2814.2</v>
      </c>
      <c r="I23" s="8">
        <v>4583.5</v>
      </c>
      <c r="J23" s="8">
        <v>4245.3999999999996</v>
      </c>
      <c r="K23" s="8">
        <v>3992.4</v>
      </c>
      <c r="L23" s="8">
        <v>4320.6000000000004</v>
      </c>
      <c r="M23" s="8">
        <v>4695.1000000000004</v>
      </c>
      <c r="N23" s="10">
        <f t="shared" si="0"/>
        <v>0.58441602267742043</v>
      </c>
    </row>
    <row r="24" spans="1:14" x14ac:dyDescent="0.2">
      <c r="A24" s="6">
        <v>20</v>
      </c>
      <c r="B24" s="7" t="s">
        <v>88</v>
      </c>
      <c r="C24" s="6" t="s">
        <v>89</v>
      </c>
      <c r="D24" s="8">
        <v>9.75</v>
      </c>
      <c r="E24" s="8">
        <v>12.7</v>
      </c>
      <c r="F24" s="8">
        <v>13.9</v>
      </c>
      <c r="G24" s="8">
        <v>12.6</v>
      </c>
      <c r="H24" s="8">
        <v>12.4</v>
      </c>
      <c r="I24" s="8">
        <v>12.6</v>
      </c>
      <c r="J24" s="8">
        <v>13.6</v>
      </c>
      <c r="K24" s="8">
        <v>11</v>
      </c>
      <c r="L24" s="8">
        <v>12.3</v>
      </c>
      <c r="M24" s="8">
        <v>10.1</v>
      </c>
      <c r="N24" s="10">
        <f t="shared" si="0"/>
        <v>3.589743589743577E-2</v>
      </c>
    </row>
    <row r="25" spans="1:14" ht="30" x14ac:dyDescent="0.2">
      <c r="A25" s="6">
        <v>21</v>
      </c>
      <c r="B25" s="7" t="s">
        <v>91</v>
      </c>
      <c r="C25" s="6" t="s">
        <v>92</v>
      </c>
      <c r="D25" s="8">
        <v>202.7</v>
      </c>
      <c r="E25" s="8">
        <v>273.60000000000002</v>
      </c>
      <c r="F25" s="8">
        <v>348.3</v>
      </c>
      <c r="G25" s="8">
        <v>409.2</v>
      </c>
      <c r="H25" s="8">
        <v>288.8</v>
      </c>
      <c r="I25" s="8">
        <v>250.4</v>
      </c>
      <c r="J25" s="8">
        <v>301.2</v>
      </c>
      <c r="K25" s="8">
        <v>409.8</v>
      </c>
      <c r="L25" s="8">
        <v>557.5</v>
      </c>
      <c r="M25" s="8">
        <v>715.8</v>
      </c>
      <c r="N25" s="10">
        <f t="shared" si="0"/>
        <v>2.5313270843611249</v>
      </c>
    </row>
    <row r="26" spans="1:14" x14ac:dyDescent="0.2">
      <c r="A26" s="6">
        <v>22</v>
      </c>
      <c r="B26" s="7" t="s">
        <v>94</v>
      </c>
      <c r="C26" s="6" t="s">
        <v>95</v>
      </c>
      <c r="D26" s="8">
        <v>1000.6</v>
      </c>
      <c r="E26" s="8">
        <v>1010.1</v>
      </c>
      <c r="F26" s="8">
        <v>1038.2</v>
      </c>
      <c r="G26" s="8">
        <v>1031.3</v>
      </c>
      <c r="H26" s="8">
        <v>962.7</v>
      </c>
      <c r="I26" s="8">
        <v>1270.9000000000001</v>
      </c>
      <c r="J26" s="8">
        <v>1284.8</v>
      </c>
      <c r="K26" s="8">
        <v>1186.5</v>
      </c>
      <c r="L26" s="8">
        <v>1220.0999999999999</v>
      </c>
      <c r="M26" s="8">
        <v>1144.2</v>
      </c>
      <c r="N26" s="10">
        <f t="shared" si="0"/>
        <v>0.14351389166500095</v>
      </c>
    </row>
    <row r="27" spans="1:14" x14ac:dyDescent="0.2">
      <c r="A27" s="6">
        <v>23</v>
      </c>
      <c r="B27" s="7" t="s">
        <v>97</v>
      </c>
      <c r="C27" s="6" t="s">
        <v>98</v>
      </c>
      <c r="D27" s="8">
        <v>12.8</v>
      </c>
      <c r="E27" s="8">
        <v>15.9</v>
      </c>
      <c r="F27" s="8">
        <v>16.600000000000001</v>
      </c>
      <c r="G27" s="8">
        <v>16.399999999999999</v>
      </c>
      <c r="H27" s="8">
        <v>16.600000000000001</v>
      </c>
      <c r="I27" s="8">
        <v>21.5</v>
      </c>
      <c r="J27" s="8">
        <v>20.2</v>
      </c>
      <c r="K27" s="8">
        <v>22.8</v>
      </c>
      <c r="L27" s="8">
        <v>25.5</v>
      </c>
      <c r="M27" s="8">
        <v>30.3</v>
      </c>
      <c r="N27" s="10">
        <f t="shared" si="0"/>
        <v>1.3671875</v>
      </c>
    </row>
    <row r="28" spans="1:14" x14ac:dyDescent="0.2">
      <c r="A28" s="6">
        <v>24</v>
      </c>
      <c r="B28" s="7" t="s">
        <v>100</v>
      </c>
      <c r="C28" s="6" t="s">
        <v>101</v>
      </c>
      <c r="D28" s="8">
        <v>902.9</v>
      </c>
      <c r="E28" s="8">
        <v>914</v>
      </c>
      <c r="F28" s="8">
        <v>978.7</v>
      </c>
      <c r="G28" s="8">
        <v>1036.5999999999999</v>
      </c>
      <c r="H28" s="8">
        <v>1166.0999999999999</v>
      </c>
      <c r="I28" s="8">
        <v>1289.7</v>
      </c>
      <c r="J28" s="8">
        <v>1653.9</v>
      </c>
      <c r="K28" s="8">
        <v>2046.6</v>
      </c>
      <c r="L28" s="8">
        <v>2202.5</v>
      </c>
      <c r="M28" s="8">
        <v>2273.9</v>
      </c>
      <c r="N28" s="10">
        <f t="shared" si="0"/>
        <v>1.5184405803521988</v>
      </c>
    </row>
    <row r="29" spans="1:14" x14ac:dyDescent="0.2">
      <c r="A29" s="6">
        <v>25</v>
      </c>
      <c r="B29" s="7" t="s">
        <v>103</v>
      </c>
      <c r="C29" s="6" t="s">
        <v>104</v>
      </c>
      <c r="D29" s="8">
        <v>2941.3</v>
      </c>
      <c r="E29" s="8">
        <v>3300.2</v>
      </c>
      <c r="F29" s="8">
        <v>3828.5</v>
      </c>
      <c r="G29" s="8">
        <v>4314.8</v>
      </c>
      <c r="H29" s="8">
        <v>4287</v>
      </c>
      <c r="I29" s="8">
        <v>4973.1000000000004</v>
      </c>
      <c r="J29" s="8">
        <v>5939</v>
      </c>
      <c r="K29" s="8">
        <v>6486</v>
      </c>
      <c r="L29" s="8">
        <v>6581</v>
      </c>
      <c r="M29" s="8">
        <v>6812</v>
      </c>
      <c r="N29" s="10">
        <f t="shared" si="0"/>
        <v>1.3159827287253933</v>
      </c>
    </row>
    <row r="30" spans="1:14" ht="30" x14ac:dyDescent="0.2">
      <c r="A30" s="6">
        <v>26</v>
      </c>
      <c r="B30" s="7" t="s">
        <v>106</v>
      </c>
      <c r="C30" s="6" t="s">
        <v>107</v>
      </c>
      <c r="D30" s="8">
        <v>252.6</v>
      </c>
      <c r="E30" s="8">
        <v>266.8</v>
      </c>
      <c r="F30" s="8">
        <v>346.4</v>
      </c>
      <c r="G30" s="8">
        <v>376.7</v>
      </c>
      <c r="H30" s="8">
        <v>526.70000000000005</v>
      </c>
      <c r="I30" s="8">
        <v>537</v>
      </c>
      <c r="J30" s="8">
        <v>578.79999999999995</v>
      </c>
      <c r="K30" s="8">
        <v>543.29999999999995</v>
      </c>
      <c r="L30" s="8">
        <v>565.70000000000005</v>
      </c>
      <c r="M30" s="8">
        <v>566.20000000000005</v>
      </c>
      <c r="N30" s="10">
        <f t="shared" si="0"/>
        <v>1.2414885193982585</v>
      </c>
    </row>
    <row r="31" spans="1:14" x14ac:dyDescent="0.2">
      <c r="A31" s="6">
        <v>27</v>
      </c>
      <c r="B31" s="7" t="s">
        <v>109</v>
      </c>
      <c r="C31" s="6" t="s">
        <v>110</v>
      </c>
      <c r="D31" s="8">
        <v>291.39999999999998</v>
      </c>
      <c r="E31" s="8">
        <v>361.2</v>
      </c>
      <c r="F31" s="8">
        <v>372.4</v>
      </c>
      <c r="G31" s="8">
        <v>437.9</v>
      </c>
      <c r="H31" s="8">
        <v>428.2</v>
      </c>
      <c r="I31" s="8">
        <v>473.2</v>
      </c>
      <c r="J31" s="8">
        <v>500.9</v>
      </c>
      <c r="K31" s="8">
        <v>546.1</v>
      </c>
      <c r="L31" s="8">
        <v>488.9</v>
      </c>
      <c r="M31" s="8">
        <v>555.1</v>
      </c>
      <c r="N31" s="10">
        <f t="shared" si="0"/>
        <v>0.90494166094715189</v>
      </c>
    </row>
    <row r="32" spans="1:14" ht="30" x14ac:dyDescent="0.2">
      <c r="A32" s="6">
        <v>28</v>
      </c>
      <c r="B32" s="7" t="s">
        <v>112</v>
      </c>
      <c r="C32" s="6" t="s">
        <v>113</v>
      </c>
      <c r="D32" s="8">
        <v>28.5</v>
      </c>
      <c r="E32" s="8">
        <v>37.700000000000003</v>
      </c>
      <c r="F32" s="8">
        <v>44.8</v>
      </c>
      <c r="G32" s="8">
        <v>38.4</v>
      </c>
      <c r="H32" s="8">
        <v>22.4</v>
      </c>
      <c r="I32" s="8">
        <v>62.6</v>
      </c>
      <c r="J32" s="8">
        <v>141.19999999999999</v>
      </c>
      <c r="K32" s="8">
        <v>96.7</v>
      </c>
      <c r="L32" s="8">
        <v>86.4</v>
      </c>
      <c r="M32" s="8">
        <v>85.6</v>
      </c>
      <c r="N32" s="10">
        <f t="shared" si="0"/>
        <v>2.0035087719298246</v>
      </c>
    </row>
    <row r="33" spans="1:14" x14ac:dyDescent="0.2">
      <c r="A33" s="6">
        <v>29</v>
      </c>
      <c r="B33" s="7" t="s">
        <v>115</v>
      </c>
      <c r="C33" s="6" t="s">
        <v>116</v>
      </c>
      <c r="D33" s="8">
        <v>119.5</v>
      </c>
      <c r="E33" s="8">
        <v>142.80000000000001</v>
      </c>
      <c r="F33" s="8">
        <v>143</v>
      </c>
      <c r="G33" s="8">
        <v>147.80000000000001</v>
      </c>
      <c r="H33" s="8">
        <v>160.6</v>
      </c>
      <c r="I33" s="8">
        <v>178.9</v>
      </c>
      <c r="J33" s="8">
        <v>201.3</v>
      </c>
      <c r="K33" s="8">
        <v>228.8</v>
      </c>
      <c r="L33" s="8">
        <v>195.3</v>
      </c>
      <c r="M33" s="8">
        <v>200.4</v>
      </c>
      <c r="N33" s="10">
        <f t="shared" si="0"/>
        <v>0.67698744769874475</v>
      </c>
    </row>
    <row r="34" spans="1:14" x14ac:dyDescent="0.2">
      <c r="A34" s="6">
        <v>30</v>
      </c>
      <c r="B34" s="7" t="s">
        <v>118</v>
      </c>
      <c r="C34" s="6" t="s">
        <v>119</v>
      </c>
      <c r="D34" s="8">
        <v>1058.5</v>
      </c>
      <c r="E34" s="8">
        <v>1116.0999999999999</v>
      </c>
      <c r="F34" s="8">
        <v>1092.0999999999999</v>
      </c>
      <c r="G34" s="8">
        <v>1137.9000000000001</v>
      </c>
      <c r="H34" s="8">
        <v>1128.5999999999999</v>
      </c>
      <c r="I34" s="8">
        <v>1298.8</v>
      </c>
      <c r="J34" s="8">
        <v>1371.8</v>
      </c>
      <c r="K34" s="8">
        <v>1358.3</v>
      </c>
      <c r="L34" s="8">
        <v>1463.8</v>
      </c>
      <c r="M34" s="8">
        <v>1791.2</v>
      </c>
      <c r="N34" s="10">
        <f t="shared" si="0"/>
        <v>0.69220595181861122</v>
      </c>
    </row>
    <row r="35" spans="1:14" x14ac:dyDescent="0.2">
      <c r="A35" s="6">
        <v>31</v>
      </c>
      <c r="B35" s="7" t="s">
        <v>121</v>
      </c>
      <c r="C35" s="6" t="s">
        <v>122</v>
      </c>
      <c r="D35" s="8">
        <v>73.7</v>
      </c>
      <c r="E35" s="8">
        <v>64.900000000000006</v>
      </c>
      <c r="F35" s="8">
        <v>77.400000000000006</v>
      </c>
      <c r="G35" s="8">
        <v>74.8</v>
      </c>
      <c r="H35" s="8">
        <v>77.599999999999994</v>
      </c>
      <c r="I35" s="8">
        <v>83.5</v>
      </c>
      <c r="J35" s="8">
        <v>79.099999999999994</v>
      </c>
      <c r="K35" s="8">
        <v>86.7</v>
      </c>
      <c r="L35" s="8">
        <v>86.6</v>
      </c>
      <c r="M35" s="8">
        <v>83.1</v>
      </c>
      <c r="N35" s="10">
        <f t="shared" si="0"/>
        <v>0.12754409769335129</v>
      </c>
    </row>
    <row r="36" spans="1:14" x14ac:dyDescent="0.2">
      <c r="A36" s="6">
        <v>32</v>
      </c>
      <c r="B36" s="7" t="s">
        <v>124</v>
      </c>
      <c r="C36" s="6" t="s">
        <v>125</v>
      </c>
      <c r="D36" s="8">
        <v>29.7</v>
      </c>
      <c r="E36" s="8">
        <v>40.1</v>
      </c>
      <c r="F36" s="8">
        <v>22.7</v>
      </c>
      <c r="G36" s="8">
        <v>22.5</v>
      </c>
      <c r="H36" s="8">
        <v>21.6</v>
      </c>
      <c r="I36" s="8">
        <v>21.9</v>
      </c>
      <c r="J36" s="8">
        <v>20.7</v>
      </c>
      <c r="K36" s="8">
        <v>21.2</v>
      </c>
      <c r="L36" s="8">
        <v>33.4</v>
      </c>
      <c r="M36" s="8">
        <v>50.5</v>
      </c>
      <c r="N36" s="10">
        <f t="shared" si="0"/>
        <v>0.70033670033670048</v>
      </c>
    </row>
    <row r="37" spans="1:14" ht="30" x14ac:dyDescent="0.2">
      <c r="A37" s="6">
        <v>33</v>
      </c>
      <c r="B37" s="7" t="s">
        <v>127</v>
      </c>
      <c r="C37" s="6" t="s">
        <v>128</v>
      </c>
      <c r="D37" s="8">
        <v>64.8</v>
      </c>
      <c r="E37" s="8">
        <v>73.5</v>
      </c>
      <c r="F37" s="8">
        <v>82.2</v>
      </c>
      <c r="G37" s="8">
        <v>84.8</v>
      </c>
      <c r="H37" s="8">
        <v>78.8</v>
      </c>
      <c r="I37" s="8">
        <v>62</v>
      </c>
      <c r="J37" s="8">
        <v>66.2</v>
      </c>
      <c r="K37" s="8">
        <v>99.6</v>
      </c>
      <c r="L37" s="8">
        <v>115.7</v>
      </c>
      <c r="M37" s="8">
        <v>136.69999999999999</v>
      </c>
      <c r="N37" s="10">
        <f t="shared" ref="N37:N68" si="1">IF(D37=0,"N/A",(M37/D37)-1)</f>
        <v>1.1095679012345676</v>
      </c>
    </row>
    <row r="38" spans="1:14" x14ac:dyDescent="0.2">
      <c r="A38" s="6">
        <v>34</v>
      </c>
      <c r="B38" s="7" t="s">
        <v>130</v>
      </c>
      <c r="C38" s="6" t="s">
        <v>131</v>
      </c>
      <c r="D38" s="8">
        <v>5.74</v>
      </c>
      <c r="E38" s="8">
        <v>6.72</v>
      </c>
      <c r="F38" s="8">
        <v>6.47</v>
      </c>
      <c r="G38" s="8">
        <v>6.7</v>
      </c>
      <c r="H38" s="8">
        <v>8.02</v>
      </c>
      <c r="I38" s="8">
        <v>8.6300000000000008</v>
      </c>
      <c r="J38" s="8">
        <v>7.62</v>
      </c>
      <c r="K38" s="8">
        <v>7.28</v>
      </c>
      <c r="L38" s="8">
        <v>6.79</v>
      </c>
      <c r="M38" s="8">
        <v>11.1</v>
      </c>
      <c r="N38" s="10">
        <f t="shared" si="1"/>
        <v>0.93379790940766538</v>
      </c>
    </row>
    <row r="39" spans="1:14" ht="30" x14ac:dyDescent="0.2">
      <c r="A39" s="6">
        <v>35</v>
      </c>
      <c r="B39" s="7" t="s">
        <v>133</v>
      </c>
      <c r="C39" s="6" t="s">
        <v>134</v>
      </c>
      <c r="D39" s="8">
        <v>2928.4</v>
      </c>
      <c r="E39" s="8">
        <v>2941.8</v>
      </c>
      <c r="F39" s="8">
        <v>3077.6</v>
      </c>
      <c r="G39" s="8">
        <v>3121.9</v>
      </c>
      <c r="H39" s="8">
        <v>2251.1999999999998</v>
      </c>
      <c r="I39" s="8">
        <v>3145</v>
      </c>
      <c r="J39" s="8">
        <v>3394</v>
      </c>
      <c r="K39" s="8">
        <v>3428.7</v>
      </c>
      <c r="L39" s="8">
        <v>3506.1</v>
      </c>
      <c r="M39" s="8">
        <v>3361.2</v>
      </c>
      <c r="N39" s="10">
        <f t="shared" si="1"/>
        <v>0.14779401721076346</v>
      </c>
    </row>
    <row r="40" spans="1:14" x14ac:dyDescent="0.2">
      <c r="A40" s="6">
        <v>36</v>
      </c>
      <c r="B40" s="7" t="s">
        <v>136</v>
      </c>
      <c r="C40" s="6" t="s">
        <v>137</v>
      </c>
      <c r="D40" s="8">
        <v>23.6</v>
      </c>
      <c r="E40" s="8">
        <v>27.2</v>
      </c>
      <c r="F40" s="8">
        <v>30.3</v>
      </c>
      <c r="G40" s="8">
        <v>32.9</v>
      </c>
      <c r="H40" s="8">
        <v>33.1</v>
      </c>
      <c r="I40" s="8">
        <v>38.5</v>
      </c>
      <c r="J40" s="8">
        <v>43.8</v>
      </c>
      <c r="K40" s="8">
        <v>51.7</v>
      </c>
      <c r="L40" s="8">
        <v>59.6</v>
      </c>
      <c r="M40" s="8">
        <v>68.900000000000006</v>
      </c>
      <c r="N40" s="10">
        <f t="shared" si="1"/>
        <v>1.9194915254237288</v>
      </c>
    </row>
    <row r="41" spans="1:14" x14ac:dyDescent="0.2">
      <c r="A41" s="6">
        <v>37</v>
      </c>
      <c r="B41" s="7" t="s">
        <v>139</v>
      </c>
      <c r="C41" s="6" t="s">
        <v>140</v>
      </c>
      <c r="D41" s="8">
        <v>326.10000000000002</v>
      </c>
      <c r="E41" s="8">
        <v>337.7</v>
      </c>
      <c r="F41" s="8">
        <v>357.6</v>
      </c>
      <c r="G41" s="8">
        <v>461.7</v>
      </c>
      <c r="H41" s="8">
        <v>449</v>
      </c>
      <c r="I41" s="8">
        <v>494.3</v>
      </c>
      <c r="J41" s="8">
        <v>537.79999999999995</v>
      </c>
      <c r="K41" s="8">
        <v>480.8</v>
      </c>
      <c r="L41" s="8">
        <v>432.5</v>
      </c>
      <c r="M41" s="8">
        <v>396.9</v>
      </c>
      <c r="N41" s="10">
        <f t="shared" si="1"/>
        <v>0.21711131554737806</v>
      </c>
    </row>
    <row r="42" spans="1:14" x14ac:dyDescent="0.2">
      <c r="A42" s="6">
        <v>38</v>
      </c>
      <c r="B42" s="7" t="s">
        <v>142</v>
      </c>
      <c r="C42" s="6" t="s">
        <v>143</v>
      </c>
      <c r="D42" s="8">
        <v>565.20000000000005</v>
      </c>
      <c r="E42" s="8">
        <v>549.5</v>
      </c>
      <c r="F42" s="8">
        <v>629.4</v>
      </c>
      <c r="G42" s="8">
        <v>709.4</v>
      </c>
      <c r="H42" s="8">
        <v>519.1</v>
      </c>
      <c r="I42" s="8">
        <v>704.7</v>
      </c>
      <c r="J42" s="8">
        <v>763.6</v>
      </c>
      <c r="K42" s="8">
        <v>687.3</v>
      </c>
      <c r="L42" s="8">
        <v>643.29999999999995</v>
      </c>
      <c r="M42" s="8">
        <v>661.2</v>
      </c>
      <c r="N42" s="10">
        <f t="shared" si="1"/>
        <v>0.16985138004246281</v>
      </c>
    </row>
    <row r="43" spans="1:14" x14ac:dyDescent="0.2">
      <c r="A43" s="6">
        <v>39</v>
      </c>
      <c r="B43" s="7" t="s">
        <v>145</v>
      </c>
      <c r="C43" s="6" t="s">
        <v>146</v>
      </c>
      <c r="D43" s="8">
        <v>874.5</v>
      </c>
      <c r="E43" s="8">
        <v>877</v>
      </c>
      <c r="F43" s="8">
        <v>1157.4000000000001</v>
      </c>
      <c r="G43" s="8">
        <v>1351.4</v>
      </c>
      <c r="H43" s="8">
        <v>1857.5</v>
      </c>
      <c r="I43" s="8">
        <v>2283.5</v>
      </c>
      <c r="J43" s="8">
        <v>2453.1999999999998</v>
      </c>
      <c r="K43" s="8">
        <v>2292.9</v>
      </c>
      <c r="L43" s="8">
        <v>2509.8000000000002</v>
      </c>
      <c r="M43" s="8">
        <v>2150.6</v>
      </c>
      <c r="N43" s="10">
        <f t="shared" si="1"/>
        <v>1.4592338479130933</v>
      </c>
    </row>
    <row r="44" spans="1:14" x14ac:dyDescent="0.2">
      <c r="A44" s="6">
        <v>40</v>
      </c>
      <c r="B44" s="7" t="s">
        <v>148</v>
      </c>
      <c r="C44" s="6" t="s">
        <v>149</v>
      </c>
      <c r="D44" s="8">
        <v>26.9</v>
      </c>
      <c r="E44" s="8">
        <v>28.5</v>
      </c>
      <c r="F44" s="8">
        <v>27.5</v>
      </c>
      <c r="G44" s="8">
        <v>26.9</v>
      </c>
      <c r="H44" s="8">
        <v>25</v>
      </c>
      <c r="I44" s="8">
        <v>24.6</v>
      </c>
      <c r="J44" s="8">
        <v>25.9</v>
      </c>
      <c r="K44" s="8">
        <v>29.2</v>
      </c>
      <c r="L44" s="8">
        <v>29.6</v>
      </c>
      <c r="M44" s="8">
        <v>29.1</v>
      </c>
      <c r="N44" s="10">
        <f t="shared" si="1"/>
        <v>8.1784386617100413E-2</v>
      </c>
    </row>
    <row r="45" spans="1:14" x14ac:dyDescent="0.2">
      <c r="A45" s="6">
        <v>41</v>
      </c>
      <c r="B45" s="7" t="s">
        <v>151</v>
      </c>
      <c r="C45" s="6" t="s">
        <v>152</v>
      </c>
      <c r="D45" s="8">
        <v>2708.9</v>
      </c>
      <c r="E45" s="8">
        <v>2760.7</v>
      </c>
      <c r="F45" s="8">
        <v>3065.1</v>
      </c>
      <c r="G45" s="8">
        <v>3500.6</v>
      </c>
      <c r="H45" s="8">
        <v>2455</v>
      </c>
      <c r="I45" s="8">
        <v>2983.3</v>
      </c>
      <c r="J45" s="8">
        <v>3377.5</v>
      </c>
      <c r="K45" s="8">
        <v>3081.2</v>
      </c>
      <c r="L45" s="8">
        <v>3050</v>
      </c>
      <c r="M45" s="8">
        <v>2892.7</v>
      </c>
      <c r="N45" s="10">
        <f t="shared" si="1"/>
        <v>6.7850418989257477E-2</v>
      </c>
    </row>
    <row r="46" spans="1:14" x14ac:dyDescent="0.2">
      <c r="A46" s="6">
        <v>42</v>
      </c>
      <c r="B46" s="7" t="s">
        <v>154</v>
      </c>
      <c r="C46" s="6" t="s">
        <v>155</v>
      </c>
      <c r="D46" s="8">
        <v>260.89999999999998</v>
      </c>
      <c r="E46" s="8">
        <v>266.10000000000002</v>
      </c>
      <c r="F46" s="8">
        <v>266.5</v>
      </c>
      <c r="G46" s="8">
        <v>283.10000000000002</v>
      </c>
      <c r="H46" s="8">
        <v>291.7</v>
      </c>
      <c r="I46" s="8">
        <v>324.10000000000002</v>
      </c>
      <c r="J46" s="8">
        <v>379.1</v>
      </c>
      <c r="K46" s="8">
        <v>429.9</v>
      </c>
      <c r="L46" s="8">
        <v>465.3</v>
      </c>
      <c r="M46" s="8">
        <v>478.9</v>
      </c>
      <c r="N46" s="10">
        <f t="shared" si="1"/>
        <v>0.83556918359524723</v>
      </c>
    </row>
    <row r="47" spans="1:14" x14ac:dyDescent="0.2">
      <c r="A47" s="6">
        <v>43</v>
      </c>
      <c r="B47" s="7" t="s">
        <v>157</v>
      </c>
      <c r="C47" s="6" t="s">
        <v>158</v>
      </c>
      <c r="D47" s="8">
        <v>50.1</v>
      </c>
      <c r="E47" s="8">
        <v>54.4</v>
      </c>
      <c r="F47" s="8">
        <v>51.6</v>
      </c>
      <c r="G47" s="8">
        <v>52.4</v>
      </c>
      <c r="H47" s="8">
        <v>27.2</v>
      </c>
      <c r="I47" s="8">
        <v>26.3</v>
      </c>
      <c r="J47" s="8">
        <v>51.5</v>
      </c>
      <c r="K47" s="8">
        <v>63.1</v>
      </c>
      <c r="L47" s="8">
        <v>57.3</v>
      </c>
      <c r="M47" s="8">
        <v>61.5</v>
      </c>
      <c r="N47" s="10">
        <f t="shared" si="1"/>
        <v>0.22754491017964074</v>
      </c>
    </row>
    <row r="48" spans="1:14" x14ac:dyDescent="0.2">
      <c r="A48" s="6">
        <v>44</v>
      </c>
      <c r="B48" s="7" t="s">
        <v>160</v>
      </c>
      <c r="C48" s="6" t="s">
        <v>161</v>
      </c>
      <c r="D48" s="8">
        <v>57.5</v>
      </c>
      <c r="E48" s="8">
        <v>76.099999999999994</v>
      </c>
      <c r="F48" s="8">
        <v>73.2</v>
      </c>
      <c r="G48" s="8">
        <v>77.099999999999994</v>
      </c>
      <c r="H48" s="8">
        <v>71.400000000000006</v>
      </c>
      <c r="I48" s="8">
        <v>75.599999999999994</v>
      </c>
      <c r="J48" s="8">
        <v>66.8</v>
      </c>
      <c r="K48" s="8">
        <v>70.8</v>
      </c>
      <c r="L48" s="8">
        <v>80.7</v>
      </c>
      <c r="M48" s="8">
        <v>63.4</v>
      </c>
      <c r="N48" s="10">
        <f t="shared" si="1"/>
        <v>0.1026086956521739</v>
      </c>
    </row>
    <row r="49" spans="1:14" x14ac:dyDescent="0.2">
      <c r="A49" s="6">
        <v>45</v>
      </c>
      <c r="B49" s="7" t="s">
        <v>163</v>
      </c>
      <c r="C49" s="6" t="s">
        <v>164</v>
      </c>
      <c r="D49" s="8">
        <v>3516.3</v>
      </c>
      <c r="E49" s="8">
        <v>4279.8</v>
      </c>
      <c r="F49" s="8">
        <v>4792</v>
      </c>
      <c r="G49" s="8">
        <v>4892</v>
      </c>
      <c r="H49" s="8">
        <v>5446.6</v>
      </c>
      <c r="I49" s="8">
        <v>6913.8</v>
      </c>
      <c r="J49" s="8">
        <v>6967</v>
      </c>
      <c r="K49" s="8">
        <v>6226.5</v>
      </c>
      <c r="L49" s="8">
        <v>6100</v>
      </c>
      <c r="M49" s="8">
        <v>6369.1</v>
      </c>
      <c r="N49" s="10">
        <f t="shared" si="1"/>
        <v>0.8113073401018116</v>
      </c>
    </row>
    <row r="50" spans="1:14" x14ac:dyDescent="0.2">
      <c r="A50" s="6">
        <v>46</v>
      </c>
      <c r="B50" s="7" t="s">
        <v>166</v>
      </c>
      <c r="C50" s="6" t="s">
        <v>167</v>
      </c>
      <c r="D50" s="8">
        <v>22.4</v>
      </c>
      <c r="E50" s="8">
        <v>26.9</v>
      </c>
      <c r="F50" s="8">
        <v>26</v>
      </c>
      <c r="G50" s="8">
        <v>28.4</v>
      </c>
      <c r="H50" s="8">
        <v>25.3</v>
      </c>
      <c r="I50" s="8">
        <v>34.5</v>
      </c>
      <c r="J50" s="8">
        <v>68.5</v>
      </c>
      <c r="K50" s="8">
        <v>37.4</v>
      </c>
      <c r="L50" s="8">
        <v>31.1</v>
      </c>
      <c r="M50" s="8">
        <v>45.7</v>
      </c>
      <c r="N50" s="10">
        <f t="shared" si="1"/>
        <v>1.0401785714285716</v>
      </c>
    </row>
    <row r="51" spans="1:14" x14ac:dyDescent="0.2">
      <c r="A51" s="6">
        <v>47</v>
      </c>
      <c r="B51" s="7" t="s">
        <v>169</v>
      </c>
      <c r="C51" s="6" t="s">
        <v>170</v>
      </c>
      <c r="D51" s="8">
        <v>1062.5999999999999</v>
      </c>
      <c r="E51" s="8">
        <v>1286.8</v>
      </c>
      <c r="F51" s="8">
        <v>1409.8</v>
      </c>
      <c r="G51" s="8">
        <v>1396.6</v>
      </c>
      <c r="H51" s="8">
        <v>1259.3</v>
      </c>
      <c r="I51" s="8">
        <v>1294.5999999999999</v>
      </c>
      <c r="J51" s="8">
        <v>1424.5</v>
      </c>
      <c r="K51" s="8">
        <v>1399.2</v>
      </c>
      <c r="L51" s="8">
        <v>1377.1</v>
      </c>
      <c r="M51" s="8">
        <v>1399.1</v>
      </c>
      <c r="N51" s="10">
        <f t="shared" si="1"/>
        <v>0.31667607754564275</v>
      </c>
    </row>
    <row r="52" spans="1:14" ht="30" x14ac:dyDescent="0.2">
      <c r="A52" s="6">
        <v>48</v>
      </c>
      <c r="B52" s="7" t="s">
        <v>172</v>
      </c>
      <c r="C52" s="6" t="s">
        <v>173</v>
      </c>
      <c r="D52" s="8">
        <v>174.9</v>
      </c>
      <c r="E52" s="8">
        <v>161.69999999999999</v>
      </c>
      <c r="F52" s="8">
        <v>269.5</v>
      </c>
      <c r="G52" s="8">
        <v>284.3</v>
      </c>
      <c r="H52" s="8">
        <v>222.4</v>
      </c>
      <c r="I52" s="8">
        <v>307.5</v>
      </c>
      <c r="J52" s="8">
        <v>377.4</v>
      </c>
      <c r="K52" s="8">
        <v>357.7</v>
      </c>
      <c r="L52" s="8">
        <v>302.39999999999998</v>
      </c>
      <c r="M52" s="8">
        <v>273.8</v>
      </c>
      <c r="N52" s="10">
        <f t="shared" si="1"/>
        <v>0.56546598056032016</v>
      </c>
    </row>
    <row r="53" spans="1:14" x14ac:dyDescent="0.2">
      <c r="A53" s="6">
        <v>49</v>
      </c>
      <c r="B53" s="7" t="s">
        <v>175</v>
      </c>
      <c r="C53" s="6" t="s">
        <v>176</v>
      </c>
      <c r="D53" s="8">
        <v>110.5</v>
      </c>
      <c r="E53" s="8">
        <v>192.2</v>
      </c>
      <c r="F53" s="8">
        <v>232.4</v>
      </c>
      <c r="G53" s="8">
        <v>269.60000000000002</v>
      </c>
      <c r="H53" s="8">
        <v>193.4</v>
      </c>
      <c r="I53" s="8">
        <v>268.60000000000002</v>
      </c>
      <c r="J53" s="8">
        <v>395.8</v>
      </c>
      <c r="K53" s="8">
        <v>497</v>
      </c>
      <c r="L53" s="8">
        <v>458.5</v>
      </c>
      <c r="M53" s="8">
        <v>517.5</v>
      </c>
      <c r="N53" s="10">
        <f t="shared" si="1"/>
        <v>3.6832579185520364</v>
      </c>
    </row>
    <row r="54" spans="1:14" ht="30" x14ac:dyDescent="0.2">
      <c r="A54" s="6">
        <v>50</v>
      </c>
      <c r="B54" s="7" t="s">
        <v>178</v>
      </c>
      <c r="C54" s="6" t="s">
        <v>179</v>
      </c>
      <c r="D54" s="8">
        <v>158.69999999999999</v>
      </c>
      <c r="E54" s="8">
        <v>233.3</v>
      </c>
      <c r="F54" s="8">
        <v>300.5</v>
      </c>
      <c r="G54" s="8">
        <v>554.4</v>
      </c>
      <c r="H54" s="8">
        <v>391.2</v>
      </c>
      <c r="I54" s="8">
        <v>516.9</v>
      </c>
      <c r="J54" s="8">
        <v>568.6</v>
      </c>
      <c r="K54" s="8">
        <v>730.5</v>
      </c>
      <c r="L54" s="8">
        <v>810.2</v>
      </c>
      <c r="M54" s="8">
        <v>936.7</v>
      </c>
      <c r="N54" s="10">
        <f t="shared" si="1"/>
        <v>4.902331442974166</v>
      </c>
    </row>
    <row r="55" spans="1:14" ht="30" x14ac:dyDescent="0.2">
      <c r="A55" s="6">
        <v>51</v>
      </c>
      <c r="B55" s="7" t="s">
        <v>181</v>
      </c>
      <c r="C55" s="6" t="s">
        <v>182</v>
      </c>
      <c r="D55" s="8">
        <v>1072.8</v>
      </c>
      <c r="E55" s="8">
        <v>1216.7</v>
      </c>
      <c r="F55" s="8">
        <v>1461.7</v>
      </c>
      <c r="G55" s="8">
        <v>1512</v>
      </c>
      <c r="H55" s="8">
        <v>1391.1</v>
      </c>
      <c r="I55" s="8">
        <v>1751</v>
      </c>
      <c r="J55" s="8">
        <v>2015.5</v>
      </c>
      <c r="K55" s="8">
        <v>1662.1</v>
      </c>
      <c r="L55" s="8">
        <v>1846</v>
      </c>
      <c r="M55" s="8">
        <v>1558.4</v>
      </c>
      <c r="N55" s="10">
        <f t="shared" si="1"/>
        <v>0.4526472781506341</v>
      </c>
    </row>
    <row r="56" spans="1:14" ht="30" x14ac:dyDescent="0.2">
      <c r="A56" s="6">
        <v>52</v>
      </c>
      <c r="B56" s="7" t="s">
        <v>184</v>
      </c>
      <c r="C56" s="6" t="s">
        <v>185</v>
      </c>
      <c r="D56" s="8">
        <v>11.6</v>
      </c>
      <c r="E56" s="8">
        <v>15.4</v>
      </c>
      <c r="F56" s="8">
        <v>17.8</v>
      </c>
      <c r="G56" s="8">
        <v>20.8</v>
      </c>
      <c r="H56" s="8">
        <v>20.100000000000001</v>
      </c>
      <c r="I56" s="8">
        <v>21.9</v>
      </c>
      <c r="J56" s="8">
        <v>24.8</v>
      </c>
      <c r="K56" s="8">
        <v>25.1</v>
      </c>
      <c r="L56" s="8">
        <v>25.7</v>
      </c>
      <c r="M56" s="8">
        <v>24.9</v>
      </c>
      <c r="N56" s="10">
        <f t="shared" si="1"/>
        <v>1.146551724137931</v>
      </c>
    </row>
    <row r="57" spans="1:14" x14ac:dyDescent="0.2">
      <c r="A57" s="6">
        <v>53</v>
      </c>
      <c r="B57" s="7" t="s">
        <v>187</v>
      </c>
      <c r="C57" s="6" t="s">
        <v>188</v>
      </c>
      <c r="D57" s="8">
        <v>241.3</v>
      </c>
      <c r="E57" s="8">
        <v>267.3</v>
      </c>
      <c r="F57" s="8">
        <v>298.60000000000002</v>
      </c>
      <c r="G57" s="8">
        <v>292.10000000000002</v>
      </c>
      <c r="H57" s="8">
        <v>239.8</v>
      </c>
      <c r="I57" s="8">
        <v>298</v>
      </c>
      <c r="J57" s="8">
        <v>381</v>
      </c>
      <c r="K57" s="8">
        <v>383.7</v>
      </c>
      <c r="L57" s="8">
        <v>236.6</v>
      </c>
      <c r="M57" s="8">
        <v>244.4</v>
      </c>
      <c r="N57" s="10">
        <f t="shared" si="1"/>
        <v>1.2847078325735506E-2</v>
      </c>
    </row>
    <row r="58" spans="1:14" x14ac:dyDescent="0.2">
      <c r="A58" s="6">
        <v>54</v>
      </c>
      <c r="B58" s="7" t="s">
        <v>190</v>
      </c>
      <c r="C58" s="6" t="s">
        <v>191</v>
      </c>
      <c r="D58" s="8">
        <v>12.2</v>
      </c>
      <c r="E58" s="8">
        <v>13.5</v>
      </c>
      <c r="F58" s="8">
        <v>13</v>
      </c>
      <c r="G58" s="8">
        <v>10.9</v>
      </c>
      <c r="H58" s="8">
        <v>13.4</v>
      </c>
      <c r="I58" s="8">
        <v>16.2</v>
      </c>
      <c r="J58" s="8">
        <v>17.8</v>
      </c>
      <c r="K58" s="8">
        <v>22</v>
      </c>
      <c r="L58" s="8">
        <v>31.4</v>
      </c>
      <c r="M58" s="8">
        <v>61.4</v>
      </c>
      <c r="N58" s="10">
        <f t="shared" si="1"/>
        <v>4.0327868852459021</v>
      </c>
    </row>
    <row r="59" spans="1:14" x14ac:dyDescent="0.2">
      <c r="A59" s="6">
        <v>55</v>
      </c>
      <c r="B59" s="7" t="s">
        <v>193</v>
      </c>
      <c r="C59" s="6" t="s">
        <v>194</v>
      </c>
      <c r="D59" s="8">
        <v>1006.3</v>
      </c>
      <c r="E59" s="8">
        <v>1751.8</v>
      </c>
      <c r="F59" s="8">
        <v>2060.5</v>
      </c>
      <c r="G59" s="8">
        <v>2080.5</v>
      </c>
      <c r="H59" s="8">
        <v>2560.1999999999998</v>
      </c>
      <c r="I59" s="8">
        <v>3992.4</v>
      </c>
      <c r="J59" s="8">
        <v>4754.2</v>
      </c>
      <c r="K59" s="8">
        <v>3301.5</v>
      </c>
      <c r="L59" s="8">
        <v>2836.1</v>
      </c>
      <c r="M59" s="8">
        <v>2875.3</v>
      </c>
      <c r="N59" s="10">
        <f t="shared" si="1"/>
        <v>1.857299016197953</v>
      </c>
    </row>
    <row r="60" spans="1:14" x14ac:dyDescent="0.2">
      <c r="A60" s="6">
        <v>56</v>
      </c>
      <c r="B60" s="7" t="s">
        <v>196</v>
      </c>
      <c r="C60" s="6" t="s">
        <v>197</v>
      </c>
      <c r="D60" s="8">
        <v>256.5</v>
      </c>
      <c r="E60" s="8">
        <v>284.2</v>
      </c>
      <c r="F60" s="8">
        <v>279.8</v>
      </c>
      <c r="G60" s="8">
        <v>293</v>
      </c>
      <c r="H60" s="8">
        <v>310.8</v>
      </c>
      <c r="I60" s="8">
        <v>295.7</v>
      </c>
      <c r="J60" s="8">
        <v>283.2</v>
      </c>
      <c r="K60" s="8">
        <v>286.7</v>
      </c>
      <c r="L60" s="8">
        <v>277.39999999999998</v>
      </c>
      <c r="M60" s="8">
        <v>283.7</v>
      </c>
      <c r="N60" s="10">
        <f t="shared" si="1"/>
        <v>0.10604288499025327</v>
      </c>
    </row>
    <row r="61" spans="1:14" x14ac:dyDescent="0.2">
      <c r="A61" s="6">
        <v>57</v>
      </c>
      <c r="B61" s="7" t="s">
        <v>199</v>
      </c>
      <c r="C61" s="6" t="s">
        <v>200</v>
      </c>
      <c r="D61" s="8">
        <v>380.1</v>
      </c>
      <c r="E61" s="8">
        <v>401.7</v>
      </c>
      <c r="F61" s="8">
        <v>435.8</v>
      </c>
      <c r="G61" s="8">
        <v>442.3</v>
      </c>
      <c r="H61" s="8">
        <v>426.1</v>
      </c>
      <c r="I61" s="8">
        <v>454.4</v>
      </c>
      <c r="J61" s="8">
        <v>470</v>
      </c>
      <c r="K61" s="8">
        <v>468.7</v>
      </c>
      <c r="L61" s="8">
        <v>473</v>
      </c>
      <c r="M61" s="8">
        <v>490</v>
      </c>
      <c r="N61" s="10">
        <f t="shared" si="1"/>
        <v>0.28913443830570884</v>
      </c>
    </row>
    <row r="62" spans="1:14" ht="30" x14ac:dyDescent="0.2">
      <c r="A62" s="6">
        <v>58</v>
      </c>
      <c r="B62" s="7" t="s">
        <v>202</v>
      </c>
      <c r="C62" s="6" t="s">
        <v>203</v>
      </c>
      <c r="D62" s="8">
        <v>132.9</v>
      </c>
      <c r="E62" s="8">
        <v>130.80000000000001</v>
      </c>
      <c r="F62" s="8">
        <v>138.1</v>
      </c>
      <c r="G62" s="8">
        <v>134.6</v>
      </c>
      <c r="H62" s="8">
        <v>141.6</v>
      </c>
      <c r="I62" s="8">
        <v>143.1</v>
      </c>
      <c r="J62" s="8">
        <v>162.4</v>
      </c>
      <c r="K62" s="8">
        <v>166.3</v>
      </c>
      <c r="L62" s="8">
        <v>191.9</v>
      </c>
      <c r="M62" s="8">
        <v>194.7</v>
      </c>
      <c r="N62" s="10">
        <f t="shared" si="1"/>
        <v>0.46501128668171532</v>
      </c>
    </row>
    <row r="63" spans="1:14" x14ac:dyDescent="0.2">
      <c r="A63" s="6">
        <v>59</v>
      </c>
      <c r="B63" s="7" t="s">
        <v>205</v>
      </c>
      <c r="C63" s="6" t="s">
        <v>206</v>
      </c>
      <c r="D63" s="8">
        <v>1364.3</v>
      </c>
      <c r="E63" s="8">
        <v>1729</v>
      </c>
      <c r="F63" s="8">
        <v>1661.9</v>
      </c>
      <c r="G63" s="8">
        <v>1731.1</v>
      </c>
      <c r="H63" s="8">
        <v>1638.8</v>
      </c>
      <c r="I63" s="8">
        <v>1939.4</v>
      </c>
      <c r="J63" s="8">
        <v>1930.2</v>
      </c>
      <c r="K63" s="8">
        <v>1666.5</v>
      </c>
      <c r="L63" s="8">
        <v>1887.1</v>
      </c>
      <c r="M63" s="8">
        <v>1859.4</v>
      </c>
      <c r="N63" s="10">
        <f t="shared" si="1"/>
        <v>0.36289672359451752</v>
      </c>
    </row>
    <row r="64" spans="1:14" x14ac:dyDescent="0.2">
      <c r="A64" s="6">
        <v>60</v>
      </c>
      <c r="B64" s="7" t="s">
        <v>208</v>
      </c>
      <c r="C64" s="6" t="s">
        <v>209</v>
      </c>
      <c r="D64" s="8">
        <v>213.6</v>
      </c>
      <c r="E64" s="8">
        <v>236.5</v>
      </c>
      <c r="F64" s="8">
        <v>233.1</v>
      </c>
      <c r="G64" s="8">
        <v>257.60000000000002</v>
      </c>
      <c r="H64" s="8">
        <v>384</v>
      </c>
      <c r="I64" s="8">
        <v>356.7</v>
      </c>
      <c r="J64" s="8">
        <v>330.2</v>
      </c>
      <c r="K64" s="8">
        <v>322.5</v>
      </c>
      <c r="L64" s="8">
        <v>283.39999999999998</v>
      </c>
      <c r="M64" s="8">
        <v>313.7</v>
      </c>
      <c r="N64" s="10">
        <f t="shared" si="1"/>
        <v>0.46863295880149813</v>
      </c>
    </row>
    <row r="65" spans="1:14" x14ac:dyDescent="0.2">
      <c r="A65" s="6">
        <v>61</v>
      </c>
      <c r="B65" s="7" t="s">
        <v>211</v>
      </c>
      <c r="C65" s="6" t="s">
        <v>212</v>
      </c>
      <c r="D65" s="8">
        <v>20.100000000000001</v>
      </c>
      <c r="E65" s="8">
        <v>31.9</v>
      </c>
      <c r="F65" s="8">
        <v>36</v>
      </c>
      <c r="G65" s="8">
        <v>41.2</v>
      </c>
      <c r="H65" s="8">
        <v>30.4</v>
      </c>
      <c r="I65" s="8">
        <v>25.9</v>
      </c>
      <c r="J65" s="8">
        <v>38.700000000000003</v>
      </c>
      <c r="K65" s="8">
        <v>52.8</v>
      </c>
      <c r="L65" s="8">
        <v>53.9</v>
      </c>
      <c r="M65" s="8">
        <v>61.1</v>
      </c>
      <c r="N65" s="10">
        <f t="shared" si="1"/>
        <v>2.0398009950248754</v>
      </c>
    </row>
    <row r="66" spans="1:14" x14ac:dyDescent="0.2">
      <c r="A66" s="6">
        <v>62</v>
      </c>
      <c r="B66" s="7" t="s">
        <v>214</v>
      </c>
      <c r="C66" s="6" t="s">
        <v>215</v>
      </c>
      <c r="D66" s="8">
        <v>999.4</v>
      </c>
      <c r="E66" s="8">
        <v>1062.4000000000001</v>
      </c>
      <c r="F66" s="8">
        <v>1182.4000000000001</v>
      </c>
      <c r="G66" s="8">
        <v>1299.4000000000001</v>
      </c>
      <c r="H66" s="8">
        <v>1617.1</v>
      </c>
      <c r="I66" s="8">
        <v>2124.4</v>
      </c>
      <c r="J66" s="8">
        <v>2343.3000000000002</v>
      </c>
      <c r="K66" s="8">
        <v>2414.1</v>
      </c>
      <c r="L66" s="8">
        <v>2372.1999999999998</v>
      </c>
      <c r="M66" s="8">
        <v>2346</v>
      </c>
      <c r="N66" s="10">
        <f t="shared" si="1"/>
        <v>1.3474084450670403</v>
      </c>
    </row>
    <row r="67" spans="1:14" x14ac:dyDescent="0.2">
      <c r="A67" s="6">
        <v>63</v>
      </c>
      <c r="B67" s="7" t="s">
        <v>217</v>
      </c>
      <c r="C67" s="6" t="s">
        <v>218</v>
      </c>
      <c r="D67" s="8">
        <v>695.2</v>
      </c>
      <c r="E67" s="8">
        <v>755.2</v>
      </c>
      <c r="F67" s="8">
        <v>769.6</v>
      </c>
      <c r="G67" s="8">
        <v>781.9</v>
      </c>
      <c r="H67" s="8">
        <v>783.3</v>
      </c>
      <c r="I67" s="8">
        <v>991.6</v>
      </c>
      <c r="J67" s="8">
        <v>795</v>
      </c>
      <c r="K67" s="8">
        <v>747.9</v>
      </c>
      <c r="L67" s="8">
        <v>753.1</v>
      </c>
      <c r="M67" s="8">
        <v>820</v>
      </c>
      <c r="N67" s="10">
        <f t="shared" si="1"/>
        <v>0.17951668584579972</v>
      </c>
    </row>
    <row r="68" spans="1:14" x14ac:dyDescent="0.2">
      <c r="A68" s="6">
        <v>64</v>
      </c>
      <c r="B68" s="7" t="s">
        <v>220</v>
      </c>
      <c r="C68" s="6" t="s">
        <v>221</v>
      </c>
      <c r="D68" s="8">
        <v>2386.4</v>
      </c>
      <c r="E68" s="8">
        <v>2806.9</v>
      </c>
      <c r="F68" s="8">
        <v>3076.2</v>
      </c>
      <c r="G68" s="8">
        <v>3160.5</v>
      </c>
      <c r="H68" s="8">
        <v>2055.1</v>
      </c>
      <c r="I68" s="8">
        <v>2766.5</v>
      </c>
      <c r="J68" s="8">
        <v>3226.7</v>
      </c>
      <c r="K68" s="8">
        <v>3098.2</v>
      </c>
      <c r="L68" s="8">
        <v>3180.8</v>
      </c>
      <c r="M68" s="8">
        <v>2957</v>
      </c>
      <c r="N68" s="10">
        <f t="shared" si="1"/>
        <v>0.23910492792490778</v>
      </c>
    </row>
    <row r="69" spans="1:14" ht="30" x14ac:dyDescent="0.2">
      <c r="A69" s="6">
        <v>65</v>
      </c>
      <c r="B69" s="7" t="s">
        <v>223</v>
      </c>
      <c r="C69" s="6" t="s">
        <v>224</v>
      </c>
      <c r="D69" s="8">
        <v>134.6</v>
      </c>
      <c r="E69" s="8">
        <v>138.69999999999999</v>
      </c>
      <c r="F69" s="8">
        <v>164.3</v>
      </c>
      <c r="G69" s="8">
        <v>176.6</v>
      </c>
      <c r="H69" s="8">
        <v>148.69999999999999</v>
      </c>
      <c r="I69" s="8">
        <v>169.1</v>
      </c>
      <c r="J69" s="8">
        <v>251.2</v>
      </c>
      <c r="K69" s="8">
        <v>289.89999999999998</v>
      </c>
      <c r="L69" s="8">
        <v>297.60000000000002</v>
      </c>
      <c r="M69" s="8">
        <v>281.7</v>
      </c>
      <c r="N69" s="10">
        <f t="shared" ref="N69:N100" si="2">IF(D69=0,"N/A",(M69/D69)-1)</f>
        <v>1.0928677563150075</v>
      </c>
    </row>
    <row r="70" spans="1:14" x14ac:dyDescent="0.2">
      <c r="A70" s="6">
        <v>66</v>
      </c>
      <c r="B70" s="7" t="s">
        <v>226</v>
      </c>
      <c r="C70" s="6" t="s">
        <v>227</v>
      </c>
      <c r="D70" s="8">
        <v>498.9</v>
      </c>
      <c r="E70" s="8">
        <v>736.4</v>
      </c>
      <c r="F70" s="8">
        <v>1132.2</v>
      </c>
      <c r="G70" s="8">
        <v>1326.2</v>
      </c>
      <c r="H70" s="8">
        <v>1467.9</v>
      </c>
      <c r="I70" s="8">
        <v>1619.3</v>
      </c>
      <c r="J70" s="8">
        <v>1764.4</v>
      </c>
      <c r="K70" s="8">
        <v>1358.7</v>
      </c>
      <c r="L70" s="8">
        <v>1185.0999999999999</v>
      </c>
      <c r="M70" s="8">
        <v>1030.5</v>
      </c>
      <c r="N70" s="10">
        <f t="shared" si="2"/>
        <v>1.0655441972339146</v>
      </c>
    </row>
    <row r="71" spans="1:14" x14ac:dyDescent="0.2">
      <c r="A71" s="6">
        <v>67</v>
      </c>
      <c r="B71" s="7" t="s">
        <v>229</v>
      </c>
      <c r="C71" s="6" t="s">
        <v>230</v>
      </c>
      <c r="D71" s="8">
        <v>68.2</v>
      </c>
      <c r="E71" s="8">
        <v>47.8</v>
      </c>
      <c r="F71" s="8">
        <v>67.8</v>
      </c>
      <c r="G71" s="8">
        <v>66.5</v>
      </c>
      <c r="H71" s="8">
        <v>83.7</v>
      </c>
      <c r="I71" s="8">
        <v>113.1</v>
      </c>
      <c r="J71" s="8">
        <v>192.5</v>
      </c>
      <c r="K71" s="8">
        <v>209.9</v>
      </c>
      <c r="L71" s="8">
        <v>222.9</v>
      </c>
      <c r="M71" s="8">
        <v>202.4</v>
      </c>
      <c r="N71" s="10">
        <f t="shared" si="2"/>
        <v>1.967741935483871</v>
      </c>
    </row>
    <row r="72" spans="1:14" ht="30" x14ac:dyDescent="0.2">
      <c r="A72" s="6">
        <v>68</v>
      </c>
      <c r="B72" s="7" t="s">
        <v>232</v>
      </c>
      <c r="C72" s="6" t="s">
        <v>233</v>
      </c>
      <c r="D72" s="8">
        <v>1012.4</v>
      </c>
      <c r="E72" s="8">
        <v>1103.0999999999999</v>
      </c>
      <c r="F72" s="8">
        <v>1643.8</v>
      </c>
      <c r="G72" s="8">
        <v>1658.5</v>
      </c>
      <c r="H72" s="8">
        <v>1669.8</v>
      </c>
      <c r="I72" s="8">
        <v>1828.9</v>
      </c>
      <c r="J72" s="8">
        <v>2086.8000000000002</v>
      </c>
      <c r="K72" s="8">
        <v>1875.3</v>
      </c>
      <c r="L72" s="8">
        <v>1762.5</v>
      </c>
      <c r="M72" s="8">
        <v>1522.4</v>
      </c>
      <c r="N72" s="10">
        <f t="shared" si="2"/>
        <v>0.50375345713156872</v>
      </c>
    </row>
    <row r="73" spans="1:14" x14ac:dyDescent="0.2">
      <c r="A73" s="6">
        <v>69</v>
      </c>
      <c r="B73" s="7" t="s">
        <v>235</v>
      </c>
      <c r="C73" s="6" t="s">
        <v>236</v>
      </c>
      <c r="D73" s="8">
        <v>119.4</v>
      </c>
      <c r="E73" s="8">
        <v>195.9</v>
      </c>
      <c r="F73" s="8">
        <v>224.5</v>
      </c>
      <c r="G73" s="8">
        <v>227.9</v>
      </c>
      <c r="H73" s="8">
        <v>122.9</v>
      </c>
      <c r="I73" s="8">
        <v>163.30000000000001</v>
      </c>
      <c r="J73" s="8">
        <v>247.5</v>
      </c>
      <c r="K73" s="8">
        <v>279.60000000000002</v>
      </c>
      <c r="L73" s="8">
        <v>287.8</v>
      </c>
      <c r="M73" s="8">
        <v>305.8</v>
      </c>
      <c r="N73" s="10">
        <f t="shared" si="2"/>
        <v>1.5611390284757118</v>
      </c>
    </row>
    <row r="74" spans="1:14" x14ac:dyDescent="0.2">
      <c r="A74" s="6">
        <v>70</v>
      </c>
      <c r="B74" s="7" t="s">
        <v>238</v>
      </c>
      <c r="C74" s="6" t="s">
        <v>239</v>
      </c>
      <c r="D74" s="8">
        <v>442.2</v>
      </c>
      <c r="E74" s="8">
        <v>513.4</v>
      </c>
      <c r="F74" s="8">
        <v>532.1</v>
      </c>
      <c r="G74" s="8">
        <v>586</v>
      </c>
      <c r="H74" s="8">
        <v>631.79999999999995</v>
      </c>
      <c r="I74" s="8">
        <v>739.5</v>
      </c>
      <c r="J74" s="8">
        <v>768.2</v>
      </c>
      <c r="K74" s="8">
        <v>624.20000000000005</v>
      </c>
      <c r="L74" s="8">
        <v>561.9</v>
      </c>
      <c r="M74" s="8">
        <v>625.70000000000005</v>
      </c>
      <c r="N74" s="10">
        <f t="shared" si="2"/>
        <v>0.41497060153776588</v>
      </c>
    </row>
    <row r="75" spans="1:14" x14ac:dyDescent="0.2">
      <c r="A75" s="6">
        <v>71</v>
      </c>
      <c r="B75" s="7" t="s">
        <v>241</v>
      </c>
      <c r="C75" s="6" t="s">
        <v>242</v>
      </c>
      <c r="D75" s="8">
        <v>171.7</v>
      </c>
      <c r="E75" s="8">
        <v>177.3</v>
      </c>
      <c r="F75" s="8">
        <v>175.8</v>
      </c>
      <c r="G75" s="8">
        <v>180.5</v>
      </c>
      <c r="H75" s="8">
        <v>273.60000000000002</v>
      </c>
      <c r="I75" s="8">
        <v>313.60000000000002</v>
      </c>
      <c r="J75" s="8">
        <v>313.8</v>
      </c>
      <c r="K75" s="8">
        <v>263.60000000000002</v>
      </c>
      <c r="L75" s="8">
        <v>251.5</v>
      </c>
      <c r="M75" s="8">
        <v>240.2</v>
      </c>
      <c r="N75" s="10">
        <f t="shared" si="2"/>
        <v>0.39895165987186965</v>
      </c>
    </row>
    <row r="76" spans="1:14" x14ac:dyDescent="0.2">
      <c r="A76" s="6">
        <v>72</v>
      </c>
      <c r="B76" s="7" t="s">
        <v>244</v>
      </c>
      <c r="C76" s="6" t="s">
        <v>245</v>
      </c>
      <c r="D76" s="8">
        <v>1191.5</v>
      </c>
      <c r="E76" s="8">
        <v>1475.2</v>
      </c>
      <c r="F76" s="8">
        <v>1515</v>
      </c>
      <c r="G76" s="8">
        <v>1297.4000000000001</v>
      </c>
      <c r="H76" s="8">
        <v>1157.9000000000001</v>
      </c>
      <c r="I76" s="8">
        <v>1684.6</v>
      </c>
      <c r="J76" s="8">
        <v>1945.6</v>
      </c>
      <c r="K76" s="8">
        <v>1533.6</v>
      </c>
      <c r="L76" s="8">
        <v>1517.6</v>
      </c>
      <c r="M76" s="8">
        <v>1522.2</v>
      </c>
      <c r="N76" s="10">
        <f t="shared" si="2"/>
        <v>0.27754930759546803</v>
      </c>
    </row>
    <row r="77" spans="1:14" x14ac:dyDescent="0.2">
      <c r="A77" s="6">
        <v>73</v>
      </c>
      <c r="B77" s="7" t="s">
        <v>247</v>
      </c>
      <c r="C77" s="6" t="s">
        <v>248</v>
      </c>
      <c r="D77" s="8">
        <v>183.5</v>
      </c>
      <c r="E77" s="8">
        <v>227.8</v>
      </c>
      <c r="F77" s="8">
        <v>243.2</v>
      </c>
      <c r="G77" s="8">
        <v>306.7</v>
      </c>
      <c r="H77" s="8">
        <v>325</v>
      </c>
      <c r="I77" s="8">
        <v>362.7</v>
      </c>
      <c r="J77" s="8">
        <v>357.4</v>
      </c>
      <c r="K77" s="8">
        <v>394.1</v>
      </c>
      <c r="L77" s="8">
        <v>387.2</v>
      </c>
      <c r="M77" s="8">
        <v>434.7</v>
      </c>
      <c r="N77" s="10">
        <f t="shared" si="2"/>
        <v>1.3689373297002723</v>
      </c>
    </row>
    <row r="78" spans="1:14" x14ac:dyDescent="0.2">
      <c r="A78" s="6">
        <v>74</v>
      </c>
      <c r="B78" s="7" t="s">
        <v>250</v>
      </c>
      <c r="C78" s="6" t="s">
        <v>251</v>
      </c>
      <c r="D78" s="8">
        <v>94.1</v>
      </c>
      <c r="E78" s="8">
        <v>101.8</v>
      </c>
      <c r="F78" s="8">
        <v>108.3</v>
      </c>
      <c r="G78" s="8">
        <v>111.4</v>
      </c>
      <c r="H78" s="8">
        <v>105.8</v>
      </c>
      <c r="I78" s="8">
        <v>130</v>
      </c>
      <c r="J78" s="8">
        <v>125.5</v>
      </c>
      <c r="K78" s="8">
        <v>111.5</v>
      </c>
      <c r="L78" s="8">
        <v>101.7</v>
      </c>
      <c r="M78" s="8">
        <v>98.3</v>
      </c>
      <c r="N78" s="10">
        <f t="shared" si="2"/>
        <v>4.4633368756641811E-2</v>
      </c>
    </row>
    <row r="79" spans="1:14" x14ac:dyDescent="0.2">
      <c r="A79" s="6">
        <v>75</v>
      </c>
      <c r="B79" s="7" t="s">
        <v>253</v>
      </c>
      <c r="C79" s="6" t="s">
        <v>254</v>
      </c>
      <c r="D79" s="8">
        <v>108.9</v>
      </c>
      <c r="E79" s="8">
        <v>112</v>
      </c>
      <c r="F79" s="8">
        <v>118.2</v>
      </c>
      <c r="G79" s="8">
        <v>124.2</v>
      </c>
      <c r="H79" s="8">
        <v>114.5</v>
      </c>
      <c r="I79" s="8">
        <v>140.80000000000001</v>
      </c>
      <c r="J79" s="8">
        <v>166.6</v>
      </c>
      <c r="K79" s="8">
        <v>161.30000000000001</v>
      </c>
      <c r="L79" s="8">
        <v>145.9</v>
      </c>
      <c r="M79" s="8">
        <v>158.30000000000001</v>
      </c>
      <c r="N79" s="10">
        <f t="shared" si="2"/>
        <v>0.45362718089990817</v>
      </c>
    </row>
    <row r="80" spans="1:14" x14ac:dyDescent="0.2">
      <c r="A80" s="6">
        <v>76</v>
      </c>
      <c r="B80" s="7" t="s">
        <v>256</v>
      </c>
      <c r="C80" s="6" t="s">
        <v>257</v>
      </c>
      <c r="D80" s="8">
        <v>359.9</v>
      </c>
      <c r="E80" s="8">
        <v>362.7</v>
      </c>
      <c r="F80" s="8">
        <v>336.6</v>
      </c>
      <c r="G80" s="8">
        <v>338.5</v>
      </c>
      <c r="H80" s="8">
        <v>255.3</v>
      </c>
      <c r="I80" s="8">
        <v>411.5</v>
      </c>
      <c r="J80" s="8">
        <v>467.9</v>
      </c>
      <c r="K80" s="8">
        <v>486.1</v>
      </c>
      <c r="L80" s="8">
        <v>496.4</v>
      </c>
      <c r="M80" s="8">
        <v>529.79999999999995</v>
      </c>
      <c r="N80" s="10">
        <f t="shared" si="2"/>
        <v>0.47207557654904142</v>
      </c>
    </row>
    <row r="81" spans="1:14" x14ac:dyDescent="0.2">
      <c r="A81" s="6">
        <v>77</v>
      </c>
      <c r="B81" s="7" t="s">
        <v>259</v>
      </c>
      <c r="C81" s="6" t="s">
        <v>260</v>
      </c>
      <c r="D81" s="8">
        <v>955</v>
      </c>
      <c r="E81" s="8">
        <v>1053.8</v>
      </c>
      <c r="F81" s="8">
        <v>1048.5</v>
      </c>
      <c r="G81" s="8">
        <v>942.2</v>
      </c>
      <c r="H81" s="8">
        <v>827.5</v>
      </c>
      <c r="I81" s="8">
        <v>875.4</v>
      </c>
      <c r="J81" s="8">
        <v>1069.7</v>
      </c>
      <c r="K81" s="8">
        <v>1080.3</v>
      </c>
      <c r="L81" s="8">
        <v>959.2</v>
      </c>
      <c r="M81" s="8">
        <v>1026.9000000000001</v>
      </c>
      <c r="N81" s="10">
        <f t="shared" si="2"/>
        <v>7.5287958115183296E-2</v>
      </c>
    </row>
    <row r="82" spans="1:14" x14ac:dyDescent="0.2">
      <c r="A82" s="6">
        <v>78</v>
      </c>
      <c r="B82" s="7" t="s">
        <v>262</v>
      </c>
      <c r="C82" s="6" t="s">
        <v>263</v>
      </c>
      <c r="D82" s="8">
        <v>2020.8</v>
      </c>
      <c r="E82" s="8">
        <v>2127.5</v>
      </c>
      <c r="F82" s="8">
        <v>2188.6</v>
      </c>
      <c r="G82" s="8">
        <v>2197.1</v>
      </c>
      <c r="H82" s="8">
        <v>1786.5</v>
      </c>
      <c r="I82" s="8">
        <v>2422.1</v>
      </c>
      <c r="J82" s="8">
        <v>2384.9</v>
      </c>
      <c r="K82" s="8">
        <v>2324.6</v>
      </c>
      <c r="L82" s="8">
        <v>2325.1</v>
      </c>
      <c r="M82" s="8">
        <v>2436.1</v>
      </c>
      <c r="N82" s="10">
        <f t="shared" si="2"/>
        <v>0.20551266825019798</v>
      </c>
    </row>
    <row r="83" spans="1:14" ht="30" x14ac:dyDescent="0.2">
      <c r="A83" s="6">
        <v>79</v>
      </c>
      <c r="B83" s="7" t="s">
        <v>265</v>
      </c>
      <c r="C83" s="6" t="s">
        <v>266</v>
      </c>
      <c r="D83" s="8">
        <v>15.9</v>
      </c>
      <c r="E83" s="8">
        <v>16.7</v>
      </c>
      <c r="F83" s="8">
        <v>15</v>
      </c>
      <c r="G83" s="8">
        <v>28.3</v>
      </c>
      <c r="H83" s="8">
        <v>29</v>
      </c>
      <c r="I83" s="8">
        <v>32.5</v>
      </c>
      <c r="J83" s="8">
        <v>42.7</v>
      </c>
      <c r="K83" s="8">
        <v>41.1</v>
      </c>
      <c r="L83" s="8">
        <v>38.5</v>
      </c>
      <c r="M83" s="8">
        <v>38.6</v>
      </c>
      <c r="N83" s="10">
        <f t="shared" si="2"/>
        <v>1.4276729559748427</v>
      </c>
    </row>
    <row r="84" spans="1:14" x14ac:dyDescent="0.2">
      <c r="A84" s="6">
        <v>80</v>
      </c>
      <c r="B84" s="7" t="s">
        <v>268</v>
      </c>
      <c r="C84" s="6" t="s">
        <v>269</v>
      </c>
      <c r="D84" s="8">
        <v>119.3</v>
      </c>
      <c r="E84" s="8">
        <v>150.4</v>
      </c>
      <c r="F84" s="8">
        <v>146.4</v>
      </c>
      <c r="G84" s="8">
        <v>145.4</v>
      </c>
      <c r="H84" s="8">
        <v>89.5</v>
      </c>
      <c r="I84" s="8">
        <v>178.9</v>
      </c>
      <c r="J84" s="8">
        <v>238.5</v>
      </c>
      <c r="K84" s="8">
        <v>207</v>
      </c>
      <c r="L84" s="8">
        <v>167.2</v>
      </c>
      <c r="M84" s="8">
        <v>158</v>
      </c>
      <c r="N84" s="10">
        <f t="shared" si="2"/>
        <v>0.32439228834870071</v>
      </c>
    </row>
    <row r="85" spans="1:14" x14ac:dyDescent="0.2">
      <c r="A85" s="6">
        <v>81</v>
      </c>
      <c r="B85" s="7" t="s">
        <v>271</v>
      </c>
      <c r="C85" s="6" t="s">
        <v>272</v>
      </c>
      <c r="D85" s="8">
        <v>90.7</v>
      </c>
      <c r="E85" s="8">
        <v>95.3</v>
      </c>
      <c r="F85" s="8">
        <v>107.4</v>
      </c>
      <c r="G85" s="8">
        <v>104.9</v>
      </c>
      <c r="H85" s="8">
        <v>86.2</v>
      </c>
      <c r="I85" s="8">
        <v>184.2</v>
      </c>
      <c r="J85" s="8">
        <v>200.3</v>
      </c>
      <c r="K85" s="8">
        <v>232.2</v>
      </c>
      <c r="L85" s="8">
        <v>276.89999999999998</v>
      </c>
      <c r="M85" s="8">
        <v>333.2</v>
      </c>
      <c r="N85" s="10">
        <f t="shared" si="2"/>
        <v>2.6736493936052921</v>
      </c>
    </row>
    <row r="86" spans="1:14" ht="30" x14ac:dyDescent="0.2">
      <c r="A86" s="6">
        <v>82</v>
      </c>
      <c r="B86" s="7" t="s">
        <v>274</v>
      </c>
      <c r="C86" s="6" t="s">
        <v>275</v>
      </c>
      <c r="D86" s="8">
        <v>313.10000000000002</v>
      </c>
      <c r="E86" s="8">
        <v>299.2</v>
      </c>
      <c r="F86" s="8">
        <v>297.7</v>
      </c>
      <c r="G86" s="8">
        <v>286.3</v>
      </c>
      <c r="H86" s="8">
        <v>321.8</v>
      </c>
      <c r="I86" s="8">
        <v>418.8</v>
      </c>
      <c r="J86" s="8">
        <v>606.29999999999995</v>
      </c>
      <c r="K86" s="8">
        <v>600.5</v>
      </c>
      <c r="L86" s="8">
        <v>624.6</v>
      </c>
      <c r="M86" s="8">
        <v>648.9</v>
      </c>
      <c r="N86" s="10">
        <f t="shared" si="2"/>
        <v>1.0725007984669435</v>
      </c>
    </row>
    <row r="87" spans="1:14" x14ac:dyDescent="0.2">
      <c r="A87" s="6">
        <v>83</v>
      </c>
      <c r="B87" s="7" t="s">
        <v>277</v>
      </c>
      <c r="C87" s="6" t="s">
        <v>278</v>
      </c>
      <c r="D87" s="8">
        <v>601.1</v>
      </c>
      <c r="E87" s="8">
        <v>615.1</v>
      </c>
      <c r="F87" s="8">
        <v>711.7</v>
      </c>
      <c r="G87" s="8">
        <v>818.2</v>
      </c>
      <c r="H87" s="8">
        <v>651.29999999999995</v>
      </c>
      <c r="I87" s="8">
        <v>717.5</v>
      </c>
      <c r="J87" s="8">
        <v>848.5</v>
      </c>
      <c r="K87" s="8">
        <v>1153.4000000000001</v>
      </c>
      <c r="L87" s="8">
        <v>1257.5</v>
      </c>
      <c r="M87" s="8">
        <v>790.3</v>
      </c>
      <c r="N87" s="10">
        <f t="shared" si="2"/>
        <v>0.31475628015305257</v>
      </c>
    </row>
    <row r="88" spans="1:14" x14ac:dyDescent="0.2">
      <c r="A88" s="6">
        <v>84</v>
      </c>
      <c r="B88" s="7" t="s">
        <v>280</v>
      </c>
      <c r="C88" s="6" t="s">
        <v>281</v>
      </c>
      <c r="D88" s="8">
        <v>1902.2</v>
      </c>
      <c r="E88" s="8">
        <v>1988.5</v>
      </c>
      <c r="F88" s="8">
        <v>2136.1</v>
      </c>
      <c r="G88" s="8">
        <v>2222.1</v>
      </c>
      <c r="H88" s="8">
        <v>2393.6999999999998</v>
      </c>
      <c r="I88" s="8">
        <v>3984.2</v>
      </c>
      <c r="J88" s="8">
        <v>5243.2</v>
      </c>
      <c r="K88" s="8">
        <v>3789.3</v>
      </c>
      <c r="L88" s="8">
        <v>2983.8</v>
      </c>
      <c r="M88" s="8">
        <v>2730.4</v>
      </c>
      <c r="N88" s="10">
        <f t="shared" si="2"/>
        <v>0.43539060035748078</v>
      </c>
    </row>
    <row r="89" spans="1:14" x14ac:dyDescent="0.2">
      <c r="A89" s="6">
        <v>85</v>
      </c>
      <c r="B89" s="7" t="s">
        <v>283</v>
      </c>
      <c r="C89" s="6" t="s">
        <v>284</v>
      </c>
      <c r="D89" s="8">
        <v>47.4</v>
      </c>
      <c r="E89" s="8">
        <v>48.9</v>
      </c>
      <c r="F89" s="8">
        <v>57.4</v>
      </c>
      <c r="G89" s="8">
        <v>69</v>
      </c>
      <c r="H89" s="8">
        <v>56.2</v>
      </c>
      <c r="I89" s="8">
        <v>71.900000000000006</v>
      </c>
      <c r="J89" s="8">
        <v>72.599999999999994</v>
      </c>
      <c r="K89" s="8">
        <v>75.8</v>
      </c>
      <c r="L89" s="8">
        <v>85</v>
      </c>
      <c r="M89" s="8">
        <v>91.9</v>
      </c>
      <c r="N89" s="10">
        <f t="shared" si="2"/>
        <v>0.93881856540084407</v>
      </c>
    </row>
    <row r="90" spans="1:14" x14ac:dyDescent="0.2">
      <c r="A90" s="6">
        <v>86</v>
      </c>
      <c r="B90" s="7" t="s">
        <v>286</v>
      </c>
      <c r="C90" s="6" t="s">
        <v>287</v>
      </c>
      <c r="D90" s="8"/>
      <c r="E90" s="8"/>
      <c r="F90" s="8"/>
      <c r="G90" s="8">
        <v>5.03</v>
      </c>
      <c r="H90" s="8">
        <v>9.5399999999999991</v>
      </c>
      <c r="I90" s="8">
        <v>12.7</v>
      </c>
      <c r="J90" s="8">
        <v>13.9</v>
      </c>
      <c r="K90" s="8">
        <v>18.899999999999999</v>
      </c>
      <c r="L90" s="8">
        <v>20.7</v>
      </c>
      <c r="M90" s="8">
        <v>24.6</v>
      </c>
      <c r="N90" s="10" t="str">
        <f t="shared" si="2"/>
        <v>N/A</v>
      </c>
    </row>
    <row r="91" spans="1:14" x14ac:dyDescent="0.2">
      <c r="A91" s="6">
        <v>87</v>
      </c>
      <c r="B91" s="7" t="s">
        <v>289</v>
      </c>
      <c r="C91" s="6" t="s">
        <v>290</v>
      </c>
      <c r="D91" s="8">
        <v>1230.9000000000001</v>
      </c>
      <c r="E91" s="8">
        <v>1181</v>
      </c>
      <c r="F91" s="8">
        <v>1231.0999999999999</v>
      </c>
      <c r="G91" s="8">
        <v>1313.9</v>
      </c>
      <c r="H91" s="8">
        <v>1325.5</v>
      </c>
      <c r="I91" s="8">
        <v>1641</v>
      </c>
      <c r="J91" s="8">
        <v>2133.9</v>
      </c>
      <c r="K91" s="8">
        <v>2489.3000000000002</v>
      </c>
      <c r="L91" s="8">
        <v>2794.3</v>
      </c>
      <c r="M91" s="8">
        <v>2545.1999999999998</v>
      </c>
      <c r="N91" s="10">
        <f t="shared" si="2"/>
        <v>1.0677553009992686</v>
      </c>
    </row>
    <row r="92" spans="1:14" x14ac:dyDescent="0.2">
      <c r="A92" s="6">
        <v>88</v>
      </c>
      <c r="B92" s="7" t="s">
        <v>292</v>
      </c>
      <c r="C92" s="6" t="s">
        <v>293</v>
      </c>
      <c r="D92" s="8">
        <v>63.7</v>
      </c>
      <c r="E92" s="8">
        <v>58.4</v>
      </c>
      <c r="F92" s="8">
        <v>64.7</v>
      </c>
      <c r="G92" s="8">
        <v>69.2</v>
      </c>
      <c r="H92" s="8">
        <v>75.7</v>
      </c>
      <c r="I92" s="8">
        <v>84.5</v>
      </c>
      <c r="J92" s="8">
        <v>97.8</v>
      </c>
      <c r="K92" s="8">
        <v>95.6</v>
      </c>
      <c r="L92" s="8">
        <v>89</v>
      </c>
      <c r="M92" s="8">
        <v>90.7</v>
      </c>
      <c r="N92" s="10">
        <f t="shared" si="2"/>
        <v>0.42386185243328089</v>
      </c>
    </row>
    <row r="93" spans="1:14" x14ac:dyDescent="0.2">
      <c r="A93" s="6">
        <v>89</v>
      </c>
      <c r="B93" s="7" t="s">
        <v>295</v>
      </c>
      <c r="C93" s="6" t="s">
        <v>296</v>
      </c>
      <c r="D93" s="8">
        <v>416.3</v>
      </c>
      <c r="E93" s="8">
        <v>474.9</v>
      </c>
      <c r="F93" s="8">
        <v>524.1</v>
      </c>
      <c r="G93" s="8">
        <v>571.70000000000005</v>
      </c>
      <c r="H93" s="8">
        <v>480.2</v>
      </c>
      <c r="I93" s="8">
        <v>541.5</v>
      </c>
      <c r="J93" s="8">
        <v>616.1</v>
      </c>
      <c r="K93" s="8">
        <v>568.20000000000005</v>
      </c>
      <c r="L93" s="8">
        <v>568.5</v>
      </c>
      <c r="M93" s="8">
        <v>656.1</v>
      </c>
      <c r="N93" s="10">
        <f t="shared" si="2"/>
        <v>0.57602690367523413</v>
      </c>
    </row>
    <row r="94" spans="1:14" x14ac:dyDescent="0.2">
      <c r="A94" s="6">
        <v>90</v>
      </c>
      <c r="B94" s="7" t="s">
        <v>298</v>
      </c>
      <c r="C94" s="6" t="s">
        <v>299</v>
      </c>
      <c r="D94" s="8">
        <v>57.8</v>
      </c>
      <c r="E94" s="8">
        <v>69.099999999999994</v>
      </c>
      <c r="F94" s="8">
        <v>74.5</v>
      </c>
      <c r="G94" s="8">
        <v>86.9</v>
      </c>
      <c r="H94" s="8">
        <v>119</v>
      </c>
      <c r="I94" s="8">
        <v>103.9</v>
      </c>
      <c r="J94" s="8">
        <v>125.6</v>
      </c>
      <c r="K94" s="8">
        <v>128.30000000000001</v>
      </c>
      <c r="L94" s="8">
        <v>144.9</v>
      </c>
      <c r="M94" s="8">
        <v>135</v>
      </c>
      <c r="N94" s="10">
        <f t="shared" si="2"/>
        <v>1.3356401384083045</v>
      </c>
    </row>
    <row r="95" spans="1:14" ht="30" x14ac:dyDescent="0.2">
      <c r="A95" s="6">
        <v>91</v>
      </c>
      <c r="B95" s="7" t="s">
        <v>301</v>
      </c>
      <c r="C95" s="6" t="s">
        <v>302</v>
      </c>
      <c r="D95" s="8">
        <v>969.2</v>
      </c>
      <c r="E95" s="8">
        <v>1105.0999999999999</v>
      </c>
      <c r="F95" s="8">
        <v>1238.4000000000001</v>
      </c>
      <c r="G95" s="8">
        <v>1339.3</v>
      </c>
      <c r="H95" s="8">
        <v>666.8</v>
      </c>
      <c r="I95" s="8">
        <v>1077.8</v>
      </c>
      <c r="J95" s="8">
        <v>1743.8</v>
      </c>
      <c r="K95" s="8">
        <v>2170</v>
      </c>
      <c r="L95" s="8">
        <v>2197.1999999999998</v>
      </c>
      <c r="M95" s="8">
        <v>2107.6999999999998</v>
      </c>
      <c r="N95" s="10">
        <f t="shared" si="2"/>
        <v>1.1746801485761451</v>
      </c>
    </row>
    <row r="96" spans="1:14" x14ac:dyDescent="0.2">
      <c r="A96" s="6">
        <v>92</v>
      </c>
      <c r="B96" s="7" t="s">
        <v>304</v>
      </c>
      <c r="C96" s="6" t="s">
        <v>305</v>
      </c>
      <c r="D96" s="8">
        <v>361.5</v>
      </c>
      <c r="E96" s="8">
        <v>369.7</v>
      </c>
      <c r="F96" s="8">
        <v>387.2</v>
      </c>
      <c r="G96" s="8">
        <v>432.4</v>
      </c>
      <c r="H96" s="8">
        <v>374.8</v>
      </c>
      <c r="I96" s="8">
        <v>390.3</v>
      </c>
      <c r="J96" s="8">
        <v>428.8</v>
      </c>
      <c r="K96" s="8">
        <v>425.4</v>
      </c>
      <c r="L96" s="8">
        <v>399.4</v>
      </c>
      <c r="M96" s="8">
        <v>388.7</v>
      </c>
      <c r="N96" s="10">
        <f t="shared" si="2"/>
        <v>7.5242047026279346E-2</v>
      </c>
    </row>
    <row r="97" spans="1:14" ht="30" x14ac:dyDescent="0.2">
      <c r="A97" s="6">
        <v>93</v>
      </c>
      <c r="B97" s="7" t="s">
        <v>307</v>
      </c>
      <c r="C97" s="6" t="s">
        <v>308</v>
      </c>
      <c r="D97" s="8">
        <v>24.8</v>
      </c>
      <c r="E97" s="8">
        <v>16.5</v>
      </c>
      <c r="F97" s="8">
        <v>14.7</v>
      </c>
      <c r="G97" s="8">
        <v>18.100000000000001</v>
      </c>
      <c r="H97" s="8">
        <v>22</v>
      </c>
      <c r="I97" s="8">
        <v>24.9</v>
      </c>
      <c r="J97" s="8">
        <v>27.6</v>
      </c>
      <c r="K97" s="8">
        <v>37.6</v>
      </c>
      <c r="L97" s="8">
        <v>53.9</v>
      </c>
      <c r="M97" s="8">
        <v>90.1</v>
      </c>
      <c r="N97" s="10">
        <f t="shared" si="2"/>
        <v>2.633064516129032</v>
      </c>
    </row>
    <row r="98" spans="1:14" x14ac:dyDescent="0.2">
      <c r="A98" s="6">
        <v>94</v>
      </c>
      <c r="B98" s="7" t="s">
        <v>310</v>
      </c>
      <c r="C98" s="6" t="s">
        <v>311</v>
      </c>
      <c r="D98" s="8">
        <v>104.7</v>
      </c>
      <c r="E98" s="8">
        <v>108.4</v>
      </c>
      <c r="F98" s="8">
        <v>112.8</v>
      </c>
      <c r="G98" s="8">
        <v>119</v>
      </c>
      <c r="H98" s="8">
        <v>113.3</v>
      </c>
      <c r="I98" s="8">
        <v>143.1</v>
      </c>
      <c r="J98" s="8">
        <v>162.4</v>
      </c>
      <c r="K98" s="8">
        <v>177.5</v>
      </c>
      <c r="L98" s="8">
        <v>193</v>
      </c>
      <c r="M98" s="8">
        <v>208.6</v>
      </c>
      <c r="N98" s="10">
        <f t="shared" si="2"/>
        <v>0.99235912129894932</v>
      </c>
    </row>
    <row r="99" spans="1:14" x14ac:dyDescent="0.2">
      <c r="A99" s="6">
        <v>95</v>
      </c>
      <c r="B99" s="7" t="s">
        <v>313</v>
      </c>
      <c r="C99" s="6" t="s">
        <v>314</v>
      </c>
      <c r="D99" s="8">
        <v>2954.4</v>
      </c>
      <c r="E99" s="8">
        <v>2942.8</v>
      </c>
      <c r="F99" s="8">
        <v>2684.3</v>
      </c>
      <c r="G99" s="8">
        <v>2978.8</v>
      </c>
      <c r="H99" s="8">
        <v>2648.9</v>
      </c>
      <c r="I99" s="8">
        <v>2990.1</v>
      </c>
      <c r="J99" s="8">
        <v>3515.2</v>
      </c>
      <c r="K99" s="8">
        <v>4043.5</v>
      </c>
      <c r="L99" s="8">
        <v>3484.8</v>
      </c>
      <c r="M99" s="8">
        <v>3516.7</v>
      </c>
      <c r="N99" s="10">
        <f t="shared" si="2"/>
        <v>0.19032629298673154</v>
      </c>
    </row>
    <row r="100" spans="1:14" x14ac:dyDescent="0.2">
      <c r="A100" s="6">
        <v>96</v>
      </c>
      <c r="B100" s="7" t="s">
        <v>316</v>
      </c>
      <c r="C100" s="6" t="s">
        <v>317</v>
      </c>
      <c r="D100" s="8">
        <v>670.7</v>
      </c>
      <c r="E100" s="8">
        <v>705</v>
      </c>
      <c r="F100" s="8">
        <v>880.4</v>
      </c>
      <c r="G100" s="8">
        <v>885.4</v>
      </c>
      <c r="H100" s="8">
        <v>838.6</v>
      </c>
      <c r="I100" s="8">
        <v>1046</v>
      </c>
      <c r="J100" s="8">
        <v>1216.9000000000001</v>
      </c>
      <c r="K100" s="8">
        <v>1103.5999999999999</v>
      </c>
      <c r="L100" s="8">
        <v>1131.5</v>
      </c>
      <c r="M100" s="8">
        <v>1164.5</v>
      </c>
      <c r="N100" s="10">
        <f t="shared" si="2"/>
        <v>0.73624571343372591</v>
      </c>
    </row>
    <row r="101" spans="1:14" x14ac:dyDescent="0.2">
      <c r="A101" s="6">
        <v>97</v>
      </c>
      <c r="B101" s="7" t="s">
        <v>319</v>
      </c>
      <c r="C101" s="6" t="s">
        <v>320</v>
      </c>
      <c r="D101" s="8">
        <v>809.5</v>
      </c>
      <c r="E101" s="8">
        <v>879.1</v>
      </c>
      <c r="F101" s="8">
        <v>983.3</v>
      </c>
      <c r="G101" s="8">
        <v>1079.3</v>
      </c>
      <c r="H101" s="8">
        <v>997.6</v>
      </c>
      <c r="I101" s="8">
        <v>1175.9000000000001</v>
      </c>
      <c r="J101" s="8">
        <v>1167.0999999999999</v>
      </c>
      <c r="K101" s="8">
        <v>1138.4000000000001</v>
      </c>
      <c r="L101" s="8">
        <v>1068.3</v>
      </c>
      <c r="M101" s="8">
        <v>978.2</v>
      </c>
      <c r="N101" s="10">
        <f t="shared" ref="N101:N132" si="3">IF(D101=0,"N/A",(M101/D101)-1)</f>
        <v>0.20840024706609017</v>
      </c>
    </row>
    <row r="102" spans="1:14" x14ac:dyDescent="0.2">
      <c r="A102" s="6">
        <v>98</v>
      </c>
      <c r="B102" s="7" t="s">
        <v>322</v>
      </c>
      <c r="C102" s="6" t="s">
        <v>323</v>
      </c>
      <c r="D102" s="8">
        <v>11</v>
      </c>
      <c r="E102" s="8">
        <v>15</v>
      </c>
      <c r="F102" s="8">
        <v>17</v>
      </c>
      <c r="G102" s="8">
        <v>20.5</v>
      </c>
      <c r="H102" s="8">
        <v>15.6</v>
      </c>
      <c r="I102" s="8">
        <v>17.100000000000001</v>
      </c>
      <c r="J102" s="8">
        <v>21</v>
      </c>
      <c r="K102" s="8">
        <v>17.600000000000001</v>
      </c>
      <c r="L102" s="8">
        <v>29.8</v>
      </c>
      <c r="M102" s="8">
        <v>24.9</v>
      </c>
      <c r="N102" s="10">
        <f t="shared" si="3"/>
        <v>1.2636363636363637</v>
      </c>
    </row>
    <row r="103" spans="1:14" x14ac:dyDescent="0.2">
      <c r="A103" s="6">
        <v>99</v>
      </c>
      <c r="B103" s="7" t="s">
        <v>325</v>
      </c>
      <c r="C103" s="6" t="s">
        <v>326</v>
      </c>
      <c r="D103" s="8">
        <v>770.6</v>
      </c>
      <c r="E103" s="8">
        <v>907.8</v>
      </c>
      <c r="F103" s="8">
        <v>924</v>
      </c>
      <c r="G103" s="8">
        <v>985.7</v>
      </c>
      <c r="H103" s="8">
        <v>913.8</v>
      </c>
      <c r="I103" s="8">
        <v>1167.5</v>
      </c>
      <c r="J103" s="8">
        <v>1477.3</v>
      </c>
      <c r="K103" s="8">
        <v>1510.4</v>
      </c>
      <c r="L103" s="8">
        <v>1382.5</v>
      </c>
      <c r="M103" s="8">
        <v>1556.1</v>
      </c>
      <c r="N103" s="10">
        <f t="shared" si="3"/>
        <v>1.0193355826628601</v>
      </c>
    </row>
    <row r="104" spans="1:14" x14ac:dyDescent="0.2">
      <c r="A104" s="6">
        <v>100</v>
      </c>
      <c r="B104" s="7" t="s">
        <v>328</v>
      </c>
      <c r="C104" s="6" t="s">
        <v>329</v>
      </c>
      <c r="D104" s="8">
        <v>11.2</v>
      </c>
      <c r="E104" s="8">
        <v>10.7</v>
      </c>
      <c r="F104" s="8">
        <v>13.7</v>
      </c>
      <c r="G104" s="8">
        <v>14.3</v>
      </c>
      <c r="H104" s="8">
        <v>16.2</v>
      </c>
      <c r="I104" s="8">
        <v>20</v>
      </c>
      <c r="J104" s="8">
        <v>21.4</v>
      </c>
      <c r="K104" s="8">
        <v>19.899999999999999</v>
      </c>
      <c r="L104" s="8">
        <v>22.4</v>
      </c>
      <c r="M104" s="8">
        <v>23.4</v>
      </c>
      <c r="N104" s="10">
        <f t="shared" si="3"/>
        <v>1.0892857142857144</v>
      </c>
    </row>
    <row r="105" spans="1:14" x14ac:dyDescent="0.2">
      <c r="A105" s="6">
        <v>101</v>
      </c>
      <c r="B105" s="7" t="s">
        <v>331</v>
      </c>
      <c r="C105" s="6" t="s">
        <v>332</v>
      </c>
      <c r="D105" s="8">
        <v>2978.7</v>
      </c>
      <c r="E105" s="8">
        <v>3445.6</v>
      </c>
      <c r="F105" s="8">
        <v>3407</v>
      </c>
      <c r="G105" s="8">
        <v>3851.9</v>
      </c>
      <c r="H105" s="8">
        <v>3221.6</v>
      </c>
      <c r="I105" s="8">
        <v>3126.1</v>
      </c>
      <c r="J105" s="8">
        <v>3299.8</v>
      </c>
      <c r="K105" s="8">
        <v>3512</v>
      </c>
      <c r="L105" s="8">
        <v>3267.2</v>
      </c>
      <c r="M105" s="8">
        <v>3483.3</v>
      </c>
      <c r="N105" s="10">
        <f t="shared" si="3"/>
        <v>0.16940275959311113</v>
      </c>
    </row>
    <row r="106" spans="1:14" x14ac:dyDescent="0.2">
      <c r="A106" s="6">
        <v>102</v>
      </c>
      <c r="B106" s="7" t="s">
        <v>334</v>
      </c>
      <c r="C106" s="6" t="s">
        <v>335</v>
      </c>
      <c r="D106" s="8">
        <v>1715.2</v>
      </c>
      <c r="E106" s="8">
        <v>1770.1</v>
      </c>
      <c r="F106" s="8">
        <v>1767.9</v>
      </c>
      <c r="G106" s="8">
        <v>1847.2</v>
      </c>
      <c r="H106" s="8">
        <v>1929.9</v>
      </c>
      <c r="I106" s="8">
        <v>2111.3000000000002</v>
      </c>
      <c r="J106" s="8">
        <v>2245.4</v>
      </c>
      <c r="K106" s="8">
        <v>2260.1</v>
      </c>
      <c r="L106" s="8">
        <v>2186.1</v>
      </c>
      <c r="M106" s="8">
        <v>2132.1999999999998</v>
      </c>
      <c r="N106" s="10">
        <f t="shared" si="3"/>
        <v>0.24312033582089532</v>
      </c>
    </row>
    <row r="107" spans="1:14" x14ac:dyDescent="0.2">
      <c r="A107" s="6">
        <v>103</v>
      </c>
      <c r="B107" s="7" t="s">
        <v>337</v>
      </c>
      <c r="C107" s="6" t="s">
        <v>338</v>
      </c>
      <c r="D107" s="8">
        <v>836.3</v>
      </c>
      <c r="E107" s="8">
        <v>927.4</v>
      </c>
      <c r="F107" s="8">
        <v>978.6</v>
      </c>
      <c r="G107" s="8">
        <v>1034.0999999999999</v>
      </c>
      <c r="H107" s="8">
        <v>990.7</v>
      </c>
      <c r="I107" s="8">
        <v>1183.9000000000001</v>
      </c>
      <c r="J107" s="8">
        <v>958.4</v>
      </c>
      <c r="K107" s="8">
        <v>875.5</v>
      </c>
      <c r="L107" s="8">
        <v>889.2</v>
      </c>
      <c r="M107" s="8">
        <v>929.1</v>
      </c>
      <c r="N107" s="10">
        <f t="shared" si="3"/>
        <v>0.11096496472557704</v>
      </c>
    </row>
    <row r="108" spans="1:14" x14ac:dyDescent="0.2">
      <c r="A108" s="6">
        <v>104</v>
      </c>
      <c r="B108" s="7" t="s">
        <v>340</v>
      </c>
      <c r="C108" s="6" t="s">
        <v>341</v>
      </c>
      <c r="D108" s="8">
        <v>10.1</v>
      </c>
      <c r="E108" s="8">
        <v>10.6</v>
      </c>
      <c r="F108" s="8">
        <v>11.6</v>
      </c>
      <c r="G108" s="8">
        <v>12.8</v>
      </c>
      <c r="H108" s="8">
        <v>16.3</v>
      </c>
      <c r="I108" s="8">
        <v>16.2</v>
      </c>
      <c r="J108" s="8">
        <v>16.399999999999999</v>
      </c>
      <c r="K108" s="8">
        <v>18.600000000000001</v>
      </c>
      <c r="L108" s="8">
        <v>20.2</v>
      </c>
      <c r="M108" s="8">
        <v>20.399999999999999</v>
      </c>
      <c r="N108" s="10">
        <f t="shared" si="3"/>
        <v>1.0198019801980198</v>
      </c>
    </row>
    <row r="109" spans="1:14" x14ac:dyDescent="0.2">
      <c r="A109" s="6">
        <v>105</v>
      </c>
      <c r="B109" s="7" t="s">
        <v>343</v>
      </c>
      <c r="C109" s="6" t="s">
        <v>344</v>
      </c>
      <c r="D109" s="8">
        <v>1162.0999999999999</v>
      </c>
      <c r="E109" s="8">
        <v>1207.5</v>
      </c>
      <c r="F109" s="8">
        <v>1214.4000000000001</v>
      </c>
      <c r="G109" s="8">
        <v>1265.0999999999999</v>
      </c>
      <c r="H109" s="8">
        <v>1415.3</v>
      </c>
      <c r="I109" s="8">
        <v>1515.1</v>
      </c>
      <c r="J109" s="8">
        <v>1516.8</v>
      </c>
      <c r="K109" s="8">
        <v>1675.2</v>
      </c>
      <c r="L109" s="8">
        <v>1828.6</v>
      </c>
      <c r="M109" s="8">
        <v>2082.8000000000002</v>
      </c>
      <c r="N109" s="10">
        <f t="shared" si="3"/>
        <v>0.7922726099302988</v>
      </c>
    </row>
    <row r="110" spans="1:14" x14ac:dyDescent="0.2">
      <c r="A110" s="6">
        <v>106</v>
      </c>
      <c r="B110" s="7" t="s">
        <v>346</v>
      </c>
      <c r="C110" s="6" t="s">
        <v>347</v>
      </c>
      <c r="D110" s="8">
        <v>931.6</v>
      </c>
      <c r="E110" s="8">
        <v>1169.0999999999999</v>
      </c>
      <c r="F110" s="8">
        <v>1457.7</v>
      </c>
      <c r="G110" s="8">
        <v>1624.4</v>
      </c>
      <c r="H110" s="8">
        <v>1423.1</v>
      </c>
      <c r="I110" s="8">
        <v>1803.3</v>
      </c>
      <c r="J110" s="8">
        <v>2280.9</v>
      </c>
      <c r="K110" s="8">
        <v>1993.8</v>
      </c>
      <c r="L110" s="8">
        <v>2043.4</v>
      </c>
      <c r="M110" s="8">
        <v>1868.1</v>
      </c>
      <c r="N110" s="10">
        <f t="shared" si="3"/>
        <v>1.0052597681408328</v>
      </c>
    </row>
    <row r="111" spans="1:14" x14ac:dyDescent="0.2">
      <c r="A111" s="6">
        <v>107</v>
      </c>
      <c r="B111" s="7" t="s">
        <v>349</v>
      </c>
      <c r="C111" s="6" t="s">
        <v>350</v>
      </c>
      <c r="D111" s="8">
        <v>10.7</v>
      </c>
      <c r="E111" s="8">
        <v>34.700000000000003</v>
      </c>
      <c r="F111" s="8">
        <v>7.47</v>
      </c>
      <c r="G111" s="8">
        <v>18.600000000000001</v>
      </c>
      <c r="H111" s="8">
        <v>8.91</v>
      </c>
      <c r="I111" s="8">
        <v>38.799999999999997</v>
      </c>
      <c r="J111" s="8">
        <v>7.07</v>
      </c>
      <c r="K111" s="8">
        <v>29.6</v>
      </c>
      <c r="L111" s="8">
        <v>16.2</v>
      </c>
      <c r="M111" s="8">
        <v>37.299999999999997</v>
      </c>
      <c r="N111" s="10">
        <f t="shared" si="3"/>
        <v>2.485981308411215</v>
      </c>
    </row>
    <row r="112" spans="1:14" x14ac:dyDescent="0.2">
      <c r="A112" s="6">
        <v>108</v>
      </c>
      <c r="B112" s="7" t="s">
        <v>352</v>
      </c>
      <c r="C112" s="6" t="s">
        <v>353</v>
      </c>
      <c r="D112" s="8">
        <v>224.9</v>
      </c>
      <c r="E112" s="8">
        <v>254.4</v>
      </c>
      <c r="F112" s="8">
        <v>299.8</v>
      </c>
      <c r="G112" s="8">
        <v>284</v>
      </c>
      <c r="H112" s="8">
        <v>269.8</v>
      </c>
      <c r="I112" s="8">
        <v>317.89999999999998</v>
      </c>
      <c r="J112" s="8">
        <v>362.6</v>
      </c>
      <c r="K112" s="8">
        <v>355</v>
      </c>
      <c r="L112" s="8">
        <v>306.5</v>
      </c>
      <c r="M112" s="8">
        <v>307.2</v>
      </c>
      <c r="N112" s="10">
        <f t="shared" si="3"/>
        <v>0.36594041796353927</v>
      </c>
    </row>
    <row r="113" spans="1:14" ht="30" x14ac:dyDescent="0.2">
      <c r="A113" s="6">
        <v>109</v>
      </c>
      <c r="B113" s="7" t="s">
        <v>355</v>
      </c>
      <c r="C113" s="6" t="s">
        <v>356</v>
      </c>
      <c r="D113" s="8">
        <v>22.8</v>
      </c>
      <c r="E113" s="8">
        <v>30.7</v>
      </c>
      <c r="F113" s="8">
        <v>8.8800000000000008</v>
      </c>
      <c r="G113" s="8">
        <v>26.9</v>
      </c>
      <c r="H113" s="8">
        <v>33.1</v>
      </c>
      <c r="I113" s="8">
        <v>51.7</v>
      </c>
      <c r="J113" s="8">
        <v>46.3</v>
      </c>
      <c r="K113" s="8">
        <v>33.799999999999997</v>
      </c>
      <c r="L113" s="8">
        <v>24.7</v>
      </c>
      <c r="M113" s="8">
        <v>40.1</v>
      </c>
      <c r="N113" s="10">
        <f t="shared" si="3"/>
        <v>0.75877192982456143</v>
      </c>
    </row>
    <row r="114" spans="1:14" x14ac:dyDescent="0.2">
      <c r="A114" s="6">
        <v>110</v>
      </c>
      <c r="B114" s="7" t="s">
        <v>358</v>
      </c>
      <c r="C114" s="6" t="s">
        <v>359</v>
      </c>
      <c r="D114" s="8">
        <v>1226.4000000000001</v>
      </c>
      <c r="E114" s="8">
        <v>1376.3</v>
      </c>
      <c r="F114" s="8">
        <v>1776</v>
      </c>
      <c r="G114" s="8">
        <v>1727.8</v>
      </c>
      <c r="H114" s="8">
        <v>1331.8</v>
      </c>
      <c r="I114" s="8">
        <v>1612</v>
      </c>
      <c r="J114" s="8">
        <v>2166.5</v>
      </c>
      <c r="K114" s="8">
        <v>1832.8</v>
      </c>
      <c r="L114" s="8">
        <v>1726.1</v>
      </c>
      <c r="M114" s="8">
        <v>1835.6</v>
      </c>
      <c r="N114" s="10">
        <f t="shared" si="3"/>
        <v>0.49673842139595537</v>
      </c>
    </row>
    <row r="115" spans="1:14" x14ac:dyDescent="0.2">
      <c r="A115" s="6">
        <v>111</v>
      </c>
      <c r="B115" s="7" t="s">
        <v>361</v>
      </c>
      <c r="C115" s="6" t="s">
        <v>362</v>
      </c>
      <c r="D115" s="8">
        <v>1766.2</v>
      </c>
      <c r="E115" s="8">
        <v>1925</v>
      </c>
      <c r="F115" s="8">
        <v>1993.9</v>
      </c>
      <c r="G115" s="8">
        <v>1858.7</v>
      </c>
      <c r="H115" s="8">
        <v>1869.8</v>
      </c>
      <c r="I115" s="8">
        <v>2346</v>
      </c>
      <c r="J115" s="8">
        <v>2773.3</v>
      </c>
      <c r="K115" s="8">
        <v>2325.8000000000002</v>
      </c>
      <c r="L115" s="8">
        <v>2180.3000000000002</v>
      </c>
      <c r="M115" s="8">
        <v>2332.1</v>
      </c>
      <c r="N115" s="10">
        <f t="shared" si="3"/>
        <v>0.32040539010304592</v>
      </c>
    </row>
    <row r="116" spans="1:14" ht="30" x14ac:dyDescent="0.2">
      <c r="A116" s="6">
        <v>112</v>
      </c>
      <c r="B116" s="7" t="s">
        <v>364</v>
      </c>
      <c r="C116" s="6" t="s">
        <v>365</v>
      </c>
      <c r="D116" s="8">
        <v>1627.1</v>
      </c>
      <c r="E116" s="8">
        <v>1608.3</v>
      </c>
      <c r="F116" s="8">
        <v>1639.1</v>
      </c>
      <c r="G116" s="8">
        <v>1658.6</v>
      </c>
      <c r="H116" s="8">
        <v>1972.7</v>
      </c>
      <c r="I116" s="8">
        <v>2049</v>
      </c>
      <c r="J116" s="8">
        <v>2113</v>
      </c>
      <c r="K116" s="8">
        <v>2195</v>
      </c>
      <c r="L116" s="8">
        <v>2282</v>
      </c>
      <c r="M116" s="8">
        <v>2386.9</v>
      </c>
      <c r="N116" s="10">
        <f t="shared" si="3"/>
        <v>0.46696576731608386</v>
      </c>
    </row>
    <row r="117" spans="1:14" x14ac:dyDescent="0.2">
      <c r="A117" s="6">
        <v>113</v>
      </c>
      <c r="B117" s="7" t="s">
        <v>367</v>
      </c>
      <c r="C117" s="6" t="s">
        <v>368</v>
      </c>
      <c r="D117" s="8">
        <v>71.3</v>
      </c>
      <c r="E117" s="8">
        <v>129.9</v>
      </c>
      <c r="F117" s="8">
        <v>118.4</v>
      </c>
      <c r="G117" s="8">
        <v>123.2</v>
      </c>
      <c r="H117" s="8">
        <v>136.6</v>
      </c>
      <c r="I117" s="8">
        <v>218.5</v>
      </c>
      <c r="J117" s="8">
        <v>180.7</v>
      </c>
      <c r="K117" s="8">
        <v>211.8</v>
      </c>
      <c r="L117" s="8">
        <v>251.6</v>
      </c>
      <c r="M117" s="8">
        <v>183.6</v>
      </c>
      <c r="N117" s="10">
        <f t="shared" si="3"/>
        <v>1.5750350631136043</v>
      </c>
    </row>
    <row r="118" spans="1:14" x14ac:dyDescent="0.2">
      <c r="A118" s="6">
        <v>114</v>
      </c>
      <c r="B118" s="7" t="s">
        <v>370</v>
      </c>
      <c r="C118" s="6" t="s">
        <v>371</v>
      </c>
      <c r="D118" s="8">
        <v>630.70000000000005</v>
      </c>
      <c r="E118" s="8">
        <v>716.9</v>
      </c>
      <c r="F118" s="8">
        <v>782.9</v>
      </c>
      <c r="G118" s="8">
        <v>795</v>
      </c>
      <c r="H118" s="8">
        <v>715.3</v>
      </c>
      <c r="I118" s="8">
        <v>839.8</v>
      </c>
      <c r="J118" s="8">
        <v>866.2</v>
      </c>
      <c r="K118" s="8">
        <v>877.8</v>
      </c>
      <c r="L118" s="8">
        <v>820.8</v>
      </c>
      <c r="M118" s="8">
        <v>854.4</v>
      </c>
      <c r="N118" s="10">
        <f t="shared" si="3"/>
        <v>0.35468527033454889</v>
      </c>
    </row>
    <row r="119" spans="1:14" x14ac:dyDescent="0.2">
      <c r="A119" s="6">
        <v>115</v>
      </c>
      <c r="B119" s="7" t="s">
        <v>373</v>
      </c>
      <c r="C119" s="6" t="s">
        <v>374</v>
      </c>
      <c r="D119" s="8">
        <v>192.3</v>
      </c>
      <c r="E119" s="8">
        <v>193.3</v>
      </c>
      <c r="F119" s="8">
        <v>211.3</v>
      </c>
      <c r="G119" s="8">
        <v>253.5</v>
      </c>
      <c r="H119" s="8">
        <v>215.7</v>
      </c>
      <c r="I119" s="8">
        <v>214.5</v>
      </c>
      <c r="J119" s="8">
        <v>219</v>
      </c>
      <c r="K119" s="8">
        <v>235.1</v>
      </c>
      <c r="L119" s="8">
        <v>243.2</v>
      </c>
      <c r="M119" s="8">
        <v>243.2</v>
      </c>
      <c r="N119" s="10">
        <f t="shared" si="3"/>
        <v>0.26469058762350484</v>
      </c>
    </row>
    <row r="120" spans="1:14" ht="30" x14ac:dyDescent="0.2">
      <c r="A120" s="6">
        <v>116</v>
      </c>
      <c r="B120" s="7" t="s">
        <v>376</v>
      </c>
      <c r="C120" s="6" t="s">
        <v>377</v>
      </c>
      <c r="D120" s="8">
        <v>72.599999999999994</v>
      </c>
      <c r="E120" s="8">
        <v>98.3</v>
      </c>
      <c r="F120" s="8">
        <v>188.9</v>
      </c>
      <c r="G120" s="8">
        <v>151.30000000000001</v>
      </c>
      <c r="H120" s="8">
        <v>109.9</v>
      </c>
      <c r="I120" s="8">
        <v>259.39999999999998</v>
      </c>
      <c r="J120" s="8">
        <v>498.4</v>
      </c>
      <c r="K120" s="8">
        <v>508.2</v>
      </c>
      <c r="L120" s="8">
        <v>447.6</v>
      </c>
      <c r="M120" s="8">
        <v>584.4</v>
      </c>
      <c r="N120" s="10">
        <f t="shared" si="3"/>
        <v>7.0495867768595044</v>
      </c>
    </row>
    <row r="121" spans="1:14" x14ac:dyDescent="0.2">
      <c r="A121" s="6">
        <v>117</v>
      </c>
      <c r="B121" s="7" t="s">
        <v>379</v>
      </c>
      <c r="C121" s="6" t="s">
        <v>380</v>
      </c>
      <c r="D121" s="8">
        <v>74.7</v>
      </c>
      <c r="E121" s="8">
        <v>71.599999999999994</v>
      </c>
      <c r="F121" s="8">
        <v>75.3</v>
      </c>
      <c r="G121" s="8">
        <v>71</v>
      </c>
      <c r="H121" s="8">
        <v>74.7</v>
      </c>
      <c r="I121" s="8">
        <v>70</v>
      </c>
      <c r="J121" s="8">
        <v>80.599999999999994</v>
      </c>
      <c r="K121" s="8">
        <v>82.3</v>
      </c>
      <c r="L121" s="8">
        <v>81.599999999999994</v>
      </c>
      <c r="M121" s="8">
        <v>89.1</v>
      </c>
      <c r="N121" s="10">
        <f t="shared" si="3"/>
        <v>0.19277108433734935</v>
      </c>
    </row>
    <row r="122" spans="1:14" x14ac:dyDescent="0.2">
      <c r="A122" s="6">
        <v>118</v>
      </c>
      <c r="B122" s="7" t="s">
        <v>382</v>
      </c>
      <c r="C122" s="6" t="s">
        <v>383</v>
      </c>
      <c r="D122" s="8">
        <v>909.7</v>
      </c>
      <c r="E122" s="8">
        <v>1051.5999999999999</v>
      </c>
      <c r="F122" s="8">
        <v>1085.8</v>
      </c>
      <c r="G122" s="8">
        <v>1197.4000000000001</v>
      </c>
      <c r="H122" s="8">
        <v>1116.5</v>
      </c>
      <c r="I122" s="8">
        <v>1293.8</v>
      </c>
      <c r="J122" s="8">
        <v>1450.3</v>
      </c>
      <c r="K122" s="8">
        <v>1631.6</v>
      </c>
      <c r="L122" s="8">
        <v>1457.8</v>
      </c>
      <c r="M122" s="8">
        <v>1564.6</v>
      </c>
      <c r="N122" s="10">
        <f t="shared" si="3"/>
        <v>0.7199076618665492</v>
      </c>
    </row>
    <row r="123" spans="1:14" x14ac:dyDescent="0.2">
      <c r="A123" s="6">
        <v>119</v>
      </c>
      <c r="B123" s="7" t="s">
        <v>385</v>
      </c>
      <c r="C123" s="6" t="s">
        <v>386</v>
      </c>
      <c r="D123" s="8">
        <v>40.799999999999997</v>
      </c>
      <c r="E123" s="8">
        <v>41.6</v>
      </c>
      <c r="F123" s="8">
        <v>40.9</v>
      </c>
      <c r="G123" s="8">
        <v>49.9</v>
      </c>
      <c r="H123" s="8">
        <v>48.7</v>
      </c>
      <c r="I123" s="8">
        <v>51.2</v>
      </c>
      <c r="J123" s="8">
        <v>54.6</v>
      </c>
      <c r="K123" s="8">
        <v>71.400000000000006</v>
      </c>
      <c r="L123" s="8">
        <v>71.599999999999994</v>
      </c>
      <c r="M123" s="8">
        <v>89.5</v>
      </c>
      <c r="N123" s="10">
        <f t="shared" si="3"/>
        <v>1.1936274509803924</v>
      </c>
    </row>
    <row r="124" spans="1:14" x14ac:dyDescent="0.2">
      <c r="A124" s="6">
        <v>120</v>
      </c>
      <c r="B124" s="7" t="s">
        <v>388</v>
      </c>
      <c r="C124" s="6" t="s">
        <v>389</v>
      </c>
      <c r="D124" s="8">
        <v>79.400000000000006</v>
      </c>
      <c r="E124" s="8">
        <v>85.6</v>
      </c>
      <c r="F124" s="8">
        <v>94</v>
      </c>
      <c r="G124" s="8">
        <v>89.3</v>
      </c>
      <c r="H124" s="8">
        <v>88.6</v>
      </c>
      <c r="I124" s="8">
        <v>133.30000000000001</v>
      </c>
      <c r="J124" s="8">
        <v>133.6</v>
      </c>
      <c r="K124" s="8">
        <v>120.7</v>
      </c>
      <c r="L124" s="8">
        <v>109.2</v>
      </c>
      <c r="M124" s="8">
        <v>88.9</v>
      </c>
      <c r="N124" s="10">
        <f t="shared" si="3"/>
        <v>0.11964735516372804</v>
      </c>
    </row>
    <row r="125" spans="1:14" ht="30" x14ac:dyDescent="0.2">
      <c r="A125" s="6">
        <v>121</v>
      </c>
      <c r="B125" s="7" t="s">
        <v>391</v>
      </c>
      <c r="C125" s="6" t="s">
        <v>392</v>
      </c>
      <c r="D125" s="8">
        <v>138.1</v>
      </c>
      <c r="E125" s="8">
        <v>148.1</v>
      </c>
      <c r="F125" s="8">
        <v>156.30000000000001</v>
      </c>
      <c r="G125" s="8">
        <v>148</v>
      </c>
      <c r="H125" s="8">
        <v>143</v>
      </c>
      <c r="I125" s="8">
        <v>157.9</v>
      </c>
      <c r="J125" s="8">
        <v>215.2</v>
      </c>
      <c r="K125" s="8">
        <v>201</v>
      </c>
      <c r="L125" s="8">
        <v>220</v>
      </c>
      <c r="M125" s="8">
        <v>287.7</v>
      </c>
      <c r="N125" s="10">
        <f t="shared" si="3"/>
        <v>1.0832729905865315</v>
      </c>
    </row>
    <row r="126" spans="1:14" x14ac:dyDescent="0.2">
      <c r="A126" s="6">
        <v>122</v>
      </c>
      <c r="B126" s="7" t="s">
        <v>394</v>
      </c>
      <c r="C126" s="6" t="s">
        <v>395</v>
      </c>
      <c r="D126" s="8">
        <v>5.47</v>
      </c>
      <c r="E126" s="8">
        <v>6.8</v>
      </c>
      <c r="F126" s="8">
        <v>11.4</v>
      </c>
      <c r="G126" s="8">
        <v>13</v>
      </c>
      <c r="H126" s="8">
        <v>10.9</v>
      </c>
      <c r="I126" s="8">
        <v>13.4</v>
      </c>
      <c r="J126" s="8">
        <v>23.5</v>
      </c>
      <c r="K126" s="8">
        <v>28</v>
      </c>
      <c r="L126" s="8">
        <v>22.9</v>
      </c>
      <c r="M126" s="8">
        <v>19.600000000000001</v>
      </c>
      <c r="N126" s="10">
        <f t="shared" si="3"/>
        <v>2.5831809872029257</v>
      </c>
    </row>
    <row r="127" spans="1:14" x14ac:dyDescent="0.2">
      <c r="A127" s="6">
        <v>123</v>
      </c>
      <c r="B127" s="7" t="s">
        <v>397</v>
      </c>
      <c r="C127" s="6" t="s">
        <v>398</v>
      </c>
      <c r="D127" s="8">
        <v>1881</v>
      </c>
      <c r="E127" s="8">
        <v>1815.5</v>
      </c>
      <c r="F127" s="8">
        <v>2862.9</v>
      </c>
      <c r="G127" s="8">
        <v>2637.3</v>
      </c>
      <c r="H127" s="8">
        <v>3097.3</v>
      </c>
      <c r="I127" s="8">
        <v>4277.2</v>
      </c>
      <c r="J127" s="8">
        <v>4450.2</v>
      </c>
      <c r="K127" s="8">
        <v>3136.4</v>
      </c>
      <c r="L127" s="8">
        <v>2952.5</v>
      </c>
      <c r="M127" s="8">
        <v>2954</v>
      </c>
      <c r="N127" s="10">
        <f t="shared" si="3"/>
        <v>0.57044125465178097</v>
      </c>
    </row>
    <row r="128" spans="1:14" x14ac:dyDescent="0.2">
      <c r="A128" s="6">
        <v>124</v>
      </c>
      <c r="B128" s="7" t="s">
        <v>400</v>
      </c>
      <c r="C128" s="6" t="s">
        <v>401</v>
      </c>
      <c r="D128" s="8">
        <v>46.2</v>
      </c>
      <c r="E128" s="8">
        <v>44</v>
      </c>
      <c r="F128" s="8">
        <v>46.6</v>
      </c>
      <c r="G128" s="8">
        <v>46.7</v>
      </c>
      <c r="H128" s="8">
        <v>102.7</v>
      </c>
      <c r="I128" s="8">
        <v>68.599999999999994</v>
      </c>
      <c r="J128" s="8">
        <v>62</v>
      </c>
      <c r="K128" s="8">
        <v>61.2</v>
      </c>
      <c r="L128" s="8">
        <v>57.8</v>
      </c>
      <c r="M128" s="8">
        <v>59.1</v>
      </c>
      <c r="N128" s="10">
        <f t="shared" si="3"/>
        <v>0.27922077922077926</v>
      </c>
    </row>
    <row r="129" spans="1:14" ht="30" x14ac:dyDescent="0.2">
      <c r="A129" s="6">
        <v>125</v>
      </c>
      <c r="B129" s="7" t="s">
        <v>403</v>
      </c>
      <c r="C129" s="6" t="s">
        <v>404</v>
      </c>
      <c r="D129" s="8">
        <v>164.6</v>
      </c>
      <c r="E129" s="8">
        <v>160.6</v>
      </c>
      <c r="F129" s="8">
        <v>181.4</v>
      </c>
      <c r="G129" s="8">
        <v>208.8</v>
      </c>
      <c r="H129" s="8">
        <v>251.6</v>
      </c>
      <c r="I129" s="8">
        <v>282.60000000000002</v>
      </c>
      <c r="J129" s="8">
        <v>304.3</v>
      </c>
      <c r="K129" s="8">
        <v>352</v>
      </c>
      <c r="L129" s="8">
        <v>465.6</v>
      </c>
      <c r="M129" s="8">
        <v>652.5</v>
      </c>
      <c r="N129" s="10">
        <f t="shared" si="3"/>
        <v>2.9641555285540706</v>
      </c>
    </row>
    <row r="130" spans="1:14" x14ac:dyDescent="0.2">
      <c r="A130" s="6">
        <v>126</v>
      </c>
      <c r="B130" s="7" t="s">
        <v>406</v>
      </c>
      <c r="C130" s="6" t="s">
        <v>407</v>
      </c>
      <c r="D130" s="8">
        <v>40.200000000000003</v>
      </c>
      <c r="E130" s="8">
        <v>66.8</v>
      </c>
      <c r="F130" s="8">
        <v>78.599999999999994</v>
      </c>
      <c r="G130" s="8">
        <v>60.7</v>
      </c>
      <c r="H130" s="8">
        <v>53.8</v>
      </c>
      <c r="I130" s="8">
        <v>84.9</v>
      </c>
      <c r="J130" s="8">
        <v>116.8</v>
      </c>
      <c r="K130" s="8">
        <v>123.3</v>
      </c>
      <c r="L130" s="8">
        <v>130.69999999999999</v>
      </c>
      <c r="M130" s="8">
        <v>113.8</v>
      </c>
      <c r="N130" s="10">
        <f t="shared" si="3"/>
        <v>1.8308457711442783</v>
      </c>
    </row>
    <row r="131" spans="1:14" x14ac:dyDescent="0.2">
      <c r="A131" s="6">
        <v>127</v>
      </c>
      <c r="B131" s="7" t="s">
        <v>409</v>
      </c>
      <c r="C131" s="6" t="s">
        <v>410</v>
      </c>
      <c r="D131" s="8">
        <v>248.2</v>
      </c>
      <c r="E131" s="8">
        <v>258.10000000000002</v>
      </c>
      <c r="F131" s="8">
        <v>268</v>
      </c>
      <c r="G131" s="8">
        <v>274.10000000000002</v>
      </c>
      <c r="H131" s="8">
        <v>329.4</v>
      </c>
      <c r="I131" s="8">
        <v>375.9</v>
      </c>
      <c r="J131" s="8">
        <v>370.2</v>
      </c>
      <c r="K131" s="8">
        <v>382.5</v>
      </c>
      <c r="L131" s="8">
        <v>404.2</v>
      </c>
      <c r="M131" s="8">
        <v>417.4</v>
      </c>
      <c r="N131" s="10">
        <f t="shared" si="3"/>
        <v>0.68170829975825953</v>
      </c>
    </row>
    <row r="132" spans="1:14" x14ac:dyDescent="0.2">
      <c r="A132" s="6">
        <v>128</v>
      </c>
      <c r="B132" s="7" t="s">
        <v>412</v>
      </c>
      <c r="C132" s="6" t="s">
        <v>413</v>
      </c>
      <c r="D132" s="8">
        <v>104.3</v>
      </c>
      <c r="E132" s="8">
        <v>115.8</v>
      </c>
      <c r="F132" s="8">
        <v>109.4</v>
      </c>
      <c r="G132" s="8">
        <v>117.4</v>
      </c>
      <c r="H132" s="8">
        <v>123.1</v>
      </c>
      <c r="I132" s="8">
        <v>124.8</v>
      </c>
      <c r="J132" s="8">
        <v>119.8</v>
      </c>
      <c r="K132" s="8">
        <v>144.69999999999999</v>
      </c>
      <c r="L132" s="8">
        <v>168</v>
      </c>
      <c r="M132" s="8">
        <v>191.3</v>
      </c>
      <c r="N132" s="10">
        <f t="shared" si="3"/>
        <v>0.83413231064237792</v>
      </c>
    </row>
    <row r="133" spans="1:14" x14ac:dyDescent="0.2">
      <c r="A133" s="6">
        <v>129</v>
      </c>
      <c r="B133" s="7" t="s">
        <v>415</v>
      </c>
      <c r="C133" s="6" t="s">
        <v>416</v>
      </c>
      <c r="D133" s="8">
        <v>62.6</v>
      </c>
      <c r="E133" s="8">
        <v>68</v>
      </c>
      <c r="F133" s="8">
        <v>67.400000000000006</v>
      </c>
      <c r="G133" s="8">
        <v>67.400000000000006</v>
      </c>
      <c r="H133" s="8">
        <v>41.3</v>
      </c>
      <c r="I133" s="8">
        <v>23.4</v>
      </c>
      <c r="J133" s="8">
        <v>51.5</v>
      </c>
      <c r="K133" s="8">
        <v>61.9</v>
      </c>
      <c r="L133" s="8">
        <v>68.599999999999994</v>
      </c>
      <c r="M133" s="8">
        <v>70.8</v>
      </c>
      <c r="N133" s="10">
        <f t="shared" ref="N133:N164" si="4">IF(D133=0,"N/A",(M133/D133)-1)</f>
        <v>0.13099041533546329</v>
      </c>
    </row>
    <row r="134" spans="1:14" x14ac:dyDescent="0.2">
      <c r="A134" s="6">
        <v>130</v>
      </c>
      <c r="B134" s="7" t="s">
        <v>418</v>
      </c>
      <c r="C134" s="6" t="s">
        <v>419</v>
      </c>
      <c r="D134" s="8">
        <v>12.7</v>
      </c>
      <c r="E134" s="8">
        <v>13.2</v>
      </c>
      <c r="F134" s="8">
        <v>13.8</v>
      </c>
      <c r="G134" s="8">
        <v>14.3</v>
      </c>
      <c r="H134" s="8">
        <v>15.4</v>
      </c>
      <c r="I134" s="8">
        <v>16.8</v>
      </c>
      <c r="J134" s="8">
        <v>17.7</v>
      </c>
      <c r="K134" s="8">
        <v>18.7</v>
      </c>
      <c r="L134" s="8">
        <v>19.600000000000001</v>
      </c>
      <c r="M134" s="8">
        <v>20.100000000000001</v>
      </c>
      <c r="N134" s="10">
        <f t="shared" si="4"/>
        <v>0.58267716535433101</v>
      </c>
    </row>
    <row r="135" spans="1:14" x14ac:dyDescent="0.2">
      <c r="A135" s="6">
        <v>131</v>
      </c>
      <c r="B135" s="7" t="s">
        <v>421</v>
      </c>
      <c r="C135" s="6" t="s">
        <v>422</v>
      </c>
      <c r="D135" s="8">
        <v>205.2</v>
      </c>
      <c r="E135" s="8">
        <v>242.6</v>
      </c>
      <c r="F135" s="8">
        <v>290.60000000000002</v>
      </c>
      <c r="G135" s="8">
        <v>296.10000000000002</v>
      </c>
      <c r="H135" s="8">
        <v>358.4</v>
      </c>
      <c r="I135" s="8">
        <v>334.5</v>
      </c>
      <c r="J135" s="8">
        <v>303.39999999999998</v>
      </c>
      <c r="K135" s="8">
        <v>405.2</v>
      </c>
      <c r="L135" s="8">
        <v>427.2</v>
      </c>
      <c r="M135" s="8">
        <v>483.3</v>
      </c>
      <c r="N135" s="10">
        <f t="shared" si="4"/>
        <v>1.3552631578947372</v>
      </c>
    </row>
    <row r="136" spans="1:14" ht="30" x14ac:dyDescent="0.2">
      <c r="A136" s="6">
        <v>132</v>
      </c>
      <c r="B136" s="7" t="s">
        <v>424</v>
      </c>
      <c r="C136" s="6" t="s">
        <v>425</v>
      </c>
      <c r="D136" s="8">
        <v>5.58</v>
      </c>
      <c r="E136" s="8">
        <v>6.76</v>
      </c>
      <c r="F136" s="8">
        <v>7.75</v>
      </c>
      <c r="G136" s="8">
        <v>6.21</v>
      </c>
      <c r="H136" s="8">
        <v>4.57</v>
      </c>
      <c r="I136" s="8">
        <v>7.17</v>
      </c>
      <c r="J136" s="8">
        <v>14</v>
      </c>
      <c r="K136" s="8">
        <v>12.8</v>
      </c>
      <c r="L136" s="8">
        <v>15.1</v>
      </c>
      <c r="M136" s="8">
        <v>15.8</v>
      </c>
      <c r="N136" s="10">
        <f t="shared" si="4"/>
        <v>1.8315412186379931</v>
      </c>
    </row>
    <row r="137" spans="1:14" ht="30" x14ac:dyDescent="0.2">
      <c r="A137" s="6">
        <v>133</v>
      </c>
      <c r="B137" s="7" t="s">
        <v>427</v>
      </c>
      <c r="C137" s="6" t="s">
        <v>428</v>
      </c>
      <c r="D137" s="8">
        <v>258.5</v>
      </c>
      <c r="E137" s="8">
        <v>536</v>
      </c>
      <c r="F137" s="8">
        <v>297.8</v>
      </c>
      <c r="G137" s="8">
        <v>273.60000000000002</v>
      </c>
      <c r="H137" s="8">
        <v>344</v>
      </c>
      <c r="I137" s="8">
        <v>760.2</v>
      </c>
      <c r="J137" s="8">
        <v>324</v>
      </c>
      <c r="K137" s="8">
        <v>297</v>
      </c>
      <c r="L137" s="8">
        <v>364.9</v>
      </c>
      <c r="M137" s="8">
        <v>447.6</v>
      </c>
      <c r="N137" s="10">
        <f t="shared" si="4"/>
        <v>0.73152804642166358</v>
      </c>
    </row>
    <row r="138" spans="1:14" ht="30" x14ac:dyDescent="0.2">
      <c r="A138" s="6">
        <v>134</v>
      </c>
      <c r="B138" s="7" t="s">
        <v>430</v>
      </c>
      <c r="C138" s="6" t="s">
        <v>431</v>
      </c>
      <c r="D138" s="8">
        <v>840.6</v>
      </c>
      <c r="E138" s="8">
        <v>920.4</v>
      </c>
      <c r="F138" s="8">
        <v>940.7</v>
      </c>
      <c r="G138" s="8">
        <v>942.3</v>
      </c>
      <c r="H138" s="8">
        <v>880.8</v>
      </c>
      <c r="I138" s="8">
        <v>955.2</v>
      </c>
      <c r="J138" s="8">
        <v>1054.3</v>
      </c>
      <c r="K138" s="8">
        <v>1069.3</v>
      </c>
      <c r="L138" s="8">
        <v>1144.5</v>
      </c>
      <c r="M138" s="8">
        <v>1240.3</v>
      </c>
      <c r="N138" s="10">
        <f t="shared" si="4"/>
        <v>0.47549369497977634</v>
      </c>
    </row>
    <row r="139" spans="1:14" x14ac:dyDescent="0.2">
      <c r="A139" s="6">
        <v>135</v>
      </c>
      <c r="B139" s="7" t="s">
        <v>433</v>
      </c>
      <c r="C139" s="6" t="s">
        <v>434</v>
      </c>
      <c r="D139" s="8">
        <v>239.6</v>
      </c>
      <c r="E139" s="8">
        <v>269.8</v>
      </c>
      <c r="F139" s="8">
        <v>261.5</v>
      </c>
      <c r="G139" s="8">
        <v>310.39999999999998</v>
      </c>
      <c r="H139" s="8">
        <v>400.7</v>
      </c>
      <c r="I139" s="8">
        <v>360.7</v>
      </c>
      <c r="J139" s="8">
        <v>317.10000000000002</v>
      </c>
      <c r="K139" s="8">
        <v>349.9</v>
      </c>
      <c r="L139" s="8">
        <v>349.6</v>
      </c>
      <c r="M139" s="8">
        <v>364.9</v>
      </c>
      <c r="N139" s="10">
        <f t="shared" si="4"/>
        <v>0.52295492487479134</v>
      </c>
    </row>
    <row r="140" spans="1:14" x14ac:dyDescent="0.2">
      <c r="A140" s="6">
        <v>136</v>
      </c>
      <c r="B140" s="7" t="s">
        <v>436</v>
      </c>
      <c r="C140" s="6" t="s">
        <v>437</v>
      </c>
      <c r="D140" s="8">
        <v>2548.6</v>
      </c>
      <c r="E140" s="8">
        <v>2722.6</v>
      </c>
      <c r="F140" s="8">
        <v>2817</v>
      </c>
      <c r="G140" s="8">
        <v>2942.9</v>
      </c>
      <c r="H140" s="8">
        <v>2245.1</v>
      </c>
      <c r="I140" s="8">
        <v>2669.3</v>
      </c>
      <c r="J140" s="8">
        <v>2951</v>
      </c>
      <c r="K140" s="8">
        <v>2816.6</v>
      </c>
      <c r="L140" s="8">
        <v>2780.6</v>
      </c>
      <c r="M140" s="8">
        <v>2702</v>
      </c>
      <c r="N140" s="10">
        <f t="shared" si="4"/>
        <v>6.0189908184885788E-2</v>
      </c>
    </row>
    <row r="141" spans="1:14" x14ac:dyDescent="0.2">
      <c r="A141" s="6">
        <v>137</v>
      </c>
      <c r="B141" s="7" t="s">
        <v>439</v>
      </c>
      <c r="C141" s="6" t="s">
        <v>440</v>
      </c>
      <c r="D141" s="8">
        <v>1319.7</v>
      </c>
      <c r="E141" s="8">
        <v>1253.5999999999999</v>
      </c>
      <c r="F141" s="8">
        <v>1303.9000000000001</v>
      </c>
      <c r="G141" s="8">
        <v>1347.4</v>
      </c>
      <c r="H141" s="8">
        <v>1397.7</v>
      </c>
      <c r="I141" s="8">
        <v>1579.9</v>
      </c>
      <c r="J141" s="8">
        <v>1710.8</v>
      </c>
      <c r="K141" s="8">
        <v>1531.8</v>
      </c>
      <c r="L141" s="8">
        <v>1405.3</v>
      </c>
      <c r="M141" s="8">
        <v>1329</v>
      </c>
      <c r="N141" s="10">
        <f t="shared" si="4"/>
        <v>7.0470561491247086E-3</v>
      </c>
    </row>
    <row r="142" spans="1:14" x14ac:dyDescent="0.2">
      <c r="A142" s="6">
        <v>138</v>
      </c>
      <c r="B142" s="7" t="s">
        <v>442</v>
      </c>
      <c r="C142" s="6" t="s">
        <v>443</v>
      </c>
      <c r="D142" s="8">
        <v>51.8</v>
      </c>
      <c r="E142" s="8">
        <v>67.3</v>
      </c>
      <c r="F142" s="8">
        <v>109.9</v>
      </c>
      <c r="G142" s="8">
        <v>129.9</v>
      </c>
      <c r="H142" s="8">
        <v>158.9</v>
      </c>
      <c r="I142" s="8">
        <v>259.3</v>
      </c>
      <c r="J142" s="8">
        <v>324</v>
      </c>
      <c r="K142" s="8">
        <v>396.3</v>
      </c>
      <c r="L142" s="8">
        <v>420.4</v>
      </c>
      <c r="M142" s="8">
        <v>476.2</v>
      </c>
      <c r="N142" s="10">
        <f t="shared" si="4"/>
        <v>8.193050193050194</v>
      </c>
    </row>
    <row r="143" spans="1:14" x14ac:dyDescent="0.2">
      <c r="A143" s="6">
        <v>139</v>
      </c>
      <c r="B143" s="7" t="s">
        <v>445</v>
      </c>
      <c r="C143" s="6" t="s">
        <v>446</v>
      </c>
      <c r="D143" s="8">
        <v>24.4</v>
      </c>
      <c r="E143" s="8">
        <v>18.3</v>
      </c>
      <c r="F143" s="8">
        <v>16.7</v>
      </c>
      <c r="G143" s="8">
        <v>19.3</v>
      </c>
      <c r="H143" s="8">
        <v>19.5</v>
      </c>
      <c r="I143" s="8">
        <v>27</v>
      </c>
      <c r="J143" s="8">
        <v>30.6</v>
      </c>
      <c r="K143" s="8">
        <v>44.8</v>
      </c>
      <c r="L143" s="8">
        <v>62.8</v>
      </c>
      <c r="M143" s="8">
        <v>70.599999999999994</v>
      </c>
      <c r="N143" s="10">
        <f t="shared" si="4"/>
        <v>1.8934426229508197</v>
      </c>
    </row>
    <row r="144" spans="1:14" ht="30" x14ac:dyDescent="0.2">
      <c r="A144" s="6">
        <v>140</v>
      </c>
      <c r="B144" s="7" t="s">
        <v>448</v>
      </c>
      <c r="C144" s="6" t="s">
        <v>449</v>
      </c>
      <c r="D144" s="8">
        <v>721.3</v>
      </c>
      <c r="E144" s="8">
        <v>787.9</v>
      </c>
      <c r="F144" s="8">
        <v>868.1</v>
      </c>
      <c r="G144" s="8">
        <v>912.1</v>
      </c>
      <c r="H144" s="8">
        <v>1071.9000000000001</v>
      </c>
      <c r="I144" s="8">
        <v>1067.8</v>
      </c>
      <c r="J144" s="8">
        <v>1092.8</v>
      </c>
      <c r="K144" s="8">
        <v>1161.9000000000001</v>
      </c>
      <c r="L144" s="8">
        <v>1270.0999999999999</v>
      </c>
      <c r="M144" s="8">
        <v>1336.2</v>
      </c>
      <c r="N144" s="10">
        <f t="shared" si="4"/>
        <v>0.85248856231803716</v>
      </c>
    </row>
    <row r="145" spans="1:14" x14ac:dyDescent="0.2">
      <c r="A145" s="6">
        <v>141</v>
      </c>
      <c r="B145" s="7" t="s">
        <v>451</v>
      </c>
      <c r="C145" s="6" t="s">
        <v>452</v>
      </c>
      <c r="D145" s="8">
        <v>278.2</v>
      </c>
      <c r="E145" s="8">
        <v>278.7</v>
      </c>
      <c r="F145" s="8">
        <v>314.3</v>
      </c>
      <c r="G145" s="8">
        <v>318.8</v>
      </c>
      <c r="H145" s="8">
        <v>455.2</v>
      </c>
      <c r="I145" s="8">
        <v>470</v>
      </c>
      <c r="J145" s="8">
        <v>608.79999999999995</v>
      </c>
      <c r="K145" s="8">
        <v>450.8</v>
      </c>
      <c r="L145" s="8">
        <v>387.8</v>
      </c>
      <c r="M145" s="8">
        <v>396.1</v>
      </c>
      <c r="N145" s="10">
        <f t="shared" si="4"/>
        <v>0.42379583033788659</v>
      </c>
    </row>
    <row r="146" spans="1:14" x14ac:dyDescent="0.2">
      <c r="A146" s="6">
        <v>142</v>
      </c>
      <c r="B146" s="7" t="s">
        <v>454</v>
      </c>
      <c r="C146" s="6" t="s">
        <v>455</v>
      </c>
      <c r="D146" s="8">
        <v>252.1</v>
      </c>
      <c r="E146" s="8">
        <v>255.1</v>
      </c>
      <c r="F146" s="8">
        <v>264.5</v>
      </c>
      <c r="G146" s="8">
        <v>260.8</v>
      </c>
      <c r="H146" s="8">
        <v>234.8</v>
      </c>
      <c r="I146" s="8">
        <v>277.60000000000002</v>
      </c>
      <c r="J146" s="8">
        <v>289.7</v>
      </c>
      <c r="K146" s="8">
        <v>291.3</v>
      </c>
      <c r="L146" s="8">
        <v>307</v>
      </c>
      <c r="M146" s="8">
        <v>300.8</v>
      </c>
      <c r="N146" s="10">
        <f t="shared" si="4"/>
        <v>0.19317731059103527</v>
      </c>
    </row>
    <row r="147" spans="1:14" x14ac:dyDescent="0.2">
      <c r="A147" s="6">
        <v>143</v>
      </c>
      <c r="B147" s="7" t="s">
        <v>457</v>
      </c>
      <c r="C147" s="6" t="s">
        <v>458</v>
      </c>
      <c r="D147" s="8">
        <v>242.1</v>
      </c>
      <c r="E147" s="8">
        <v>741.5</v>
      </c>
      <c r="F147" s="8">
        <v>633.5</v>
      </c>
      <c r="G147" s="8">
        <v>490.4</v>
      </c>
      <c r="H147" s="8">
        <v>311.60000000000002</v>
      </c>
      <c r="I147" s="8">
        <v>444.5</v>
      </c>
      <c r="J147" s="8">
        <v>640.1</v>
      </c>
      <c r="K147" s="8">
        <v>736.5</v>
      </c>
      <c r="L147" s="8">
        <v>681.7</v>
      </c>
      <c r="M147" s="8">
        <v>799.5</v>
      </c>
      <c r="N147" s="10">
        <f t="shared" si="4"/>
        <v>2.3023543990086743</v>
      </c>
    </row>
    <row r="148" spans="1:14" x14ac:dyDescent="0.2">
      <c r="A148" s="6">
        <v>144</v>
      </c>
      <c r="B148" s="7" t="s">
        <v>460</v>
      </c>
      <c r="C148" s="6" t="s">
        <v>461</v>
      </c>
      <c r="D148" s="8">
        <v>420</v>
      </c>
      <c r="E148" s="8">
        <v>392.7</v>
      </c>
      <c r="F148" s="8">
        <v>459.6</v>
      </c>
      <c r="G148" s="8">
        <v>449.2</v>
      </c>
      <c r="H148" s="8">
        <v>494.7</v>
      </c>
      <c r="I148" s="8">
        <v>649.5</v>
      </c>
      <c r="J148" s="8">
        <v>815.3</v>
      </c>
      <c r="K148" s="8">
        <v>604</v>
      </c>
      <c r="L148" s="8">
        <v>537.20000000000005</v>
      </c>
      <c r="M148" s="8">
        <v>677.9</v>
      </c>
      <c r="N148" s="10">
        <f t="shared" si="4"/>
        <v>0.61404761904761895</v>
      </c>
    </row>
    <row r="149" spans="1:14" x14ac:dyDescent="0.2">
      <c r="A149" s="6">
        <v>145</v>
      </c>
      <c r="B149" s="7" t="s">
        <v>463</v>
      </c>
      <c r="C149" s="6" t="s">
        <v>464</v>
      </c>
      <c r="D149" s="8">
        <v>2622.5</v>
      </c>
      <c r="E149" s="8">
        <v>2636</v>
      </c>
      <c r="F149" s="8">
        <v>3055</v>
      </c>
      <c r="G149" s="8">
        <v>4240</v>
      </c>
      <c r="H149" s="8">
        <v>5943</v>
      </c>
      <c r="I149" s="8">
        <v>6134</v>
      </c>
      <c r="J149" s="8">
        <v>3928</v>
      </c>
      <c r="K149" s="8">
        <v>3134</v>
      </c>
      <c r="L149" s="8">
        <v>3548</v>
      </c>
      <c r="M149" s="8">
        <v>3169</v>
      </c>
      <c r="N149" s="10">
        <f t="shared" si="4"/>
        <v>0.20838894184938028</v>
      </c>
    </row>
    <row r="150" spans="1:14" x14ac:dyDescent="0.2">
      <c r="A150" s="6">
        <v>146</v>
      </c>
      <c r="B150" s="7" t="s">
        <v>466</v>
      </c>
      <c r="C150" s="6" t="s">
        <v>467</v>
      </c>
      <c r="D150" s="8">
        <v>35.299999999999997</v>
      </c>
      <c r="E150" s="8">
        <v>38.6</v>
      </c>
      <c r="F150" s="8">
        <v>43.3</v>
      </c>
      <c r="G150" s="8">
        <v>44.8</v>
      </c>
      <c r="H150" s="8">
        <v>41.2</v>
      </c>
      <c r="I150" s="8">
        <v>46.8</v>
      </c>
      <c r="J150" s="8">
        <v>57.9</v>
      </c>
      <c r="K150" s="8">
        <v>60.9</v>
      </c>
      <c r="L150" s="8">
        <v>49.4</v>
      </c>
      <c r="M150" s="8">
        <v>50.9</v>
      </c>
      <c r="N150" s="10">
        <f t="shared" si="4"/>
        <v>0.44192634560906519</v>
      </c>
    </row>
    <row r="151" spans="1:14" x14ac:dyDescent="0.2">
      <c r="A151" s="6">
        <v>147</v>
      </c>
      <c r="B151" s="7" t="s">
        <v>469</v>
      </c>
      <c r="C151" s="6" t="s">
        <v>470</v>
      </c>
      <c r="D151" s="8">
        <v>0.52500000000000002</v>
      </c>
      <c r="E151" s="8">
        <v>2.04</v>
      </c>
      <c r="F151" s="8">
        <v>9.02</v>
      </c>
      <c r="G151" s="8">
        <v>27.7</v>
      </c>
      <c r="H151" s="8">
        <v>20.3</v>
      </c>
      <c r="I151" s="8">
        <v>16.5</v>
      </c>
      <c r="J151" s="8">
        <v>20.100000000000001</v>
      </c>
      <c r="K151" s="8">
        <v>18.600000000000001</v>
      </c>
      <c r="L151" s="8">
        <v>29.1</v>
      </c>
      <c r="M151" s="8">
        <v>29.5</v>
      </c>
      <c r="N151" s="10">
        <f t="shared" si="4"/>
        <v>55.19047619047619</v>
      </c>
    </row>
    <row r="152" spans="1:14" x14ac:dyDescent="0.2">
      <c r="A152" s="6">
        <v>148</v>
      </c>
      <c r="B152" s="7" t="s">
        <v>472</v>
      </c>
      <c r="C152" s="6" t="s">
        <v>473</v>
      </c>
      <c r="D152" s="8">
        <v>1416.2</v>
      </c>
      <c r="E152" s="8">
        <v>1475.5</v>
      </c>
      <c r="F152" s="8">
        <v>1562.7</v>
      </c>
      <c r="G152" s="8">
        <v>1637</v>
      </c>
      <c r="H152" s="8">
        <v>1669.1</v>
      </c>
      <c r="I152" s="8">
        <v>1678.6</v>
      </c>
      <c r="J152" s="8">
        <v>1980.5</v>
      </c>
      <c r="K152" s="8">
        <v>2154.1999999999998</v>
      </c>
      <c r="L152" s="8">
        <v>2092.1</v>
      </c>
      <c r="M152" s="8">
        <v>1879.3</v>
      </c>
      <c r="N152" s="10">
        <f t="shared" si="4"/>
        <v>0.32700183589888421</v>
      </c>
    </row>
    <row r="153" spans="1:14" ht="30" x14ac:dyDescent="0.2">
      <c r="A153" s="6">
        <v>149</v>
      </c>
      <c r="B153" s="7" t="s">
        <v>475</v>
      </c>
      <c r="C153" s="6" t="s">
        <v>476</v>
      </c>
      <c r="D153" s="8">
        <v>165.2</v>
      </c>
      <c r="E153" s="8">
        <v>168.1</v>
      </c>
      <c r="F153" s="8">
        <v>173.9</v>
      </c>
      <c r="G153" s="8">
        <v>172.1</v>
      </c>
      <c r="H153" s="8">
        <v>188.8</v>
      </c>
      <c r="I153" s="8">
        <v>211.8</v>
      </c>
      <c r="J153" s="8">
        <v>232.6</v>
      </c>
      <c r="K153" s="8">
        <v>262.8</v>
      </c>
      <c r="L153" s="8">
        <v>268.10000000000002</v>
      </c>
      <c r="M153" s="8">
        <v>248.3</v>
      </c>
      <c r="N153" s="10">
        <f t="shared" si="4"/>
        <v>0.50302663438256667</v>
      </c>
    </row>
    <row r="154" spans="1:14" ht="30" x14ac:dyDescent="0.2">
      <c r="A154" s="6">
        <v>150</v>
      </c>
      <c r="B154" s="7" t="s">
        <v>478</v>
      </c>
      <c r="C154" s="6" t="s">
        <v>479</v>
      </c>
      <c r="D154" s="8">
        <v>126.1</v>
      </c>
      <c r="E154" s="8">
        <v>137.5</v>
      </c>
      <c r="F154" s="8">
        <v>152</v>
      </c>
      <c r="G154" s="8">
        <v>162.69999999999999</v>
      </c>
      <c r="H154" s="8">
        <v>148.1</v>
      </c>
      <c r="I154" s="8">
        <v>155.19999999999999</v>
      </c>
      <c r="J154" s="8">
        <v>187.3</v>
      </c>
      <c r="K154" s="8">
        <v>192.7</v>
      </c>
      <c r="L154" s="8">
        <v>201.9</v>
      </c>
      <c r="M154" s="8">
        <v>207.4</v>
      </c>
      <c r="N154" s="10">
        <f t="shared" si="4"/>
        <v>0.6447264076130057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154"/>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customHeight="1" x14ac:dyDescent="0.2"/>
  <cols>
    <col min="1" max="1" width="5" customWidth="1"/>
    <col min="2" max="2" width="32" customWidth="1"/>
    <col min="3" max="3" width="14" customWidth="1"/>
    <col min="4" max="14" width="11" customWidth="1"/>
  </cols>
  <sheetData>
    <row r="2" spans="1:14" ht="21" x14ac:dyDescent="0.25">
      <c r="B2" s="1" t="s">
        <v>1102</v>
      </c>
    </row>
    <row r="4" spans="1:14" ht="27.75" customHeight="1" x14ac:dyDescent="0.2">
      <c r="A4" s="5" t="s">
        <v>8</v>
      </c>
      <c r="B4" s="5" t="s">
        <v>9</v>
      </c>
      <c r="C4" s="5" t="s">
        <v>10</v>
      </c>
      <c r="D4" s="5" t="s">
        <v>1091</v>
      </c>
      <c r="E4" s="5" t="s">
        <v>1092</v>
      </c>
      <c r="F4" s="5" t="s">
        <v>1093</v>
      </c>
      <c r="G4" s="5" t="s">
        <v>1094</v>
      </c>
      <c r="H4" s="5" t="s">
        <v>1095</v>
      </c>
      <c r="I4" s="5" t="s">
        <v>1096</v>
      </c>
      <c r="J4" s="5" t="s">
        <v>1097</v>
      </c>
      <c r="K4" s="5" t="s">
        <v>1098</v>
      </c>
      <c r="L4" s="5" t="s">
        <v>1099</v>
      </c>
      <c r="M4" s="5" t="s">
        <v>1100</v>
      </c>
      <c r="N4" s="5" t="s">
        <v>1103</v>
      </c>
    </row>
    <row r="5" spans="1:14" x14ac:dyDescent="0.2">
      <c r="A5" s="6">
        <v>1</v>
      </c>
      <c r="B5" s="7" t="s">
        <v>25</v>
      </c>
      <c r="C5" s="6" t="s">
        <v>26</v>
      </c>
      <c r="D5" s="8">
        <v>35.9</v>
      </c>
      <c r="E5" s="8">
        <v>35.299999999999997</v>
      </c>
      <c r="F5" s="8">
        <v>35.4</v>
      </c>
      <c r="G5" s="8">
        <v>35.6</v>
      </c>
      <c r="H5" s="8">
        <v>36.4</v>
      </c>
      <c r="I5" s="8">
        <v>37.299999999999997</v>
      </c>
      <c r="J5" s="8">
        <v>36.5</v>
      </c>
      <c r="K5" s="8">
        <v>36.200000000000003</v>
      </c>
      <c r="L5" s="8">
        <v>35.700000000000003</v>
      </c>
      <c r="M5" s="8">
        <v>36.299999999999997</v>
      </c>
      <c r="N5" s="10">
        <f t="shared" ref="N5:N36" si="0">IF(D5=0,"N/A",(M5/D5)-1)</f>
        <v>1.1142061281337101E-2</v>
      </c>
    </row>
    <row r="6" spans="1:14" x14ac:dyDescent="0.2">
      <c r="A6" s="6">
        <v>2</v>
      </c>
      <c r="B6" s="7" t="s">
        <v>30</v>
      </c>
      <c r="C6" s="6" t="s">
        <v>31</v>
      </c>
      <c r="D6" s="8">
        <v>8.6</v>
      </c>
      <c r="E6" s="8">
        <v>8.5</v>
      </c>
      <c r="F6" s="8">
        <v>8.57</v>
      </c>
      <c r="G6" s="8">
        <v>8.17</v>
      </c>
      <c r="H6" s="8">
        <v>7.95</v>
      </c>
      <c r="I6" s="8">
        <v>7.62</v>
      </c>
      <c r="J6" s="8">
        <v>7.36</v>
      </c>
      <c r="K6" s="8">
        <v>7.12</v>
      </c>
      <c r="L6" s="8">
        <v>6.91</v>
      </c>
      <c r="M6" s="8">
        <v>6.71</v>
      </c>
      <c r="N6" s="10">
        <f t="shared" si="0"/>
        <v>-0.21976744186046504</v>
      </c>
    </row>
    <row r="7" spans="1:14" x14ac:dyDescent="0.2">
      <c r="A7" s="6">
        <v>3</v>
      </c>
      <c r="B7" s="7" t="s">
        <v>34</v>
      </c>
      <c r="C7" s="6" t="s">
        <v>35</v>
      </c>
      <c r="D7" s="8">
        <v>19.899999999999999</v>
      </c>
      <c r="E7" s="8">
        <v>21.4</v>
      </c>
      <c r="F7" s="8">
        <v>24.3</v>
      </c>
      <c r="G7" s="8">
        <v>25.2</v>
      </c>
      <c r="H7" s="8">
        <v>24.8</v>
      </c>
      <c r="I7" s="8">
        <v>24.7</v>
      </c>
      <c r="J7" s="8">
        <v>24.5</v>
      </c>
      <c r="K7" s="8">
        <v>24.5</v>
      </c>
      <c r="L7" s="8">
        <v>24</v>
      </c>
      <c r="M7" s="8">
        <v>23</v>
      </c>
      <c r="N7" s="10">
        <f t="shared" si="0"/>
        <v>0.15577889447236193</v>
      </c>
    </row>
    <row r="8" spans="1:14" x14ac:dyDescent="0.2">
      <c r="A8" s="6">
        <v>4</v>
      </c>
      <c r="B8" s="7" t="s">
        <v>39</v>
      </c>
      <c r="C8" s="6" t="s">
        <v>40</v>
      </c>
      <c r="D8" s="8">
        <v>11.9</v>
      </c>
      <c r="E8" s="8">
        <v>12.1</v>
      </c>
      <c r="F8" s="8">
        <v>12.1</v>
      </c>
      <c r="G8" s="8">
        <v>12.1</v>
      </c>
      <c r="H8" s="8">
        <v>11.9</v>
      </c>
      <c r="I8" s="8">
        <v>11.8</v>
      </c>
      <c r="J8" s="8">
        <v>11.3</v>
      </c>
      <c r="K8" s="8">
        <v>10.9</v>
      </c>
      <c r="L8" s="8">
        <v>11</v>
      </c>
      <c r="M8" s="8">
        <v>11</v>
      </c>
      <c r="N8" s="10">
        <f t="shared" si="0"/>
        <v>-7.5630252100840401E-2</v>
      </c>
    </row>
    <row r="9" spans="1:14" x14ac:dyDescent="0.2">
      <c r="A9" s="6">
        <v>5</v>
      </c>
      <c r="B9" s="7" t="s">
        <v>42</v>
      </c>
      <c r="C9" s="6" t="s">
        <v>43</v>
      </c>
      <c r="D9" s="8">
        <v>3.58</v>
      </c>
      <c r="E9" s="8">
        <v>3.73</v>
      </c>
      <c r="F9" s="8">
        <v>3.54</v>
      </c>
      <c r="G9" s="8">
        <v>3.45</v>
      </c>
      <c r="H9" s="8">
        <v>3.51</v>
      </c>
      <c r="I9" s="8">
        <v>3.96</v>
      </c>
      <c r="J9" s="8">
        <v>3.72</v>
      </c>
      <c r="K9" s="8">
        <v>3.66</v>
      </c>
      <c r="L9" s="8">
        <v>4.0999999999999996</v>
      </c>
      <c r="M9" s="8">
        <v>4.09</v>
      </c>
      <c r="N9" s="10">
        <f t="shared" si="0"/>
        <v>0.14245810055865915</v>
      </c>
    </row>
    <row r="10" spans="1:14" ht="30" x14ac:dyDescent="0.2">
      <c r="A10" s="6">
        <v>6</v>
      </c>
      <c r="B10" s="7" t="s">
        <v>45</v>
      </c>
      <c r="C10" s="6" t="s">
        <v>46</v>
      </c>
      <c r="D10" s="8">
        <v>47.5</v>
      </c>
      <c r="E10" s="8">
        <v>48.4</v>
      </c>
      <c r="F10" s="8">
        <v>46.4</v>
      </c>
      <c r="G10" s="8">
        <v>49.9</v>
      </c>
      <c r="H10" s="8">
        <v>49.1</v>
      </c>
      <c r="I10" s="8">
        <v>49.8</v>
      </c>
      <c r="J10" s="8">
        <v>52.4</v>
      </c>
      <c r="K10" s="8">
        <v>53</v>
      </c>
      <c r="L10" s="8">
        <v>52.1</v>
      </c>
      <c r="M10" s="8">
        <v>48.2</v>
      </c>
      <c r="N10" s="10">
        <f t="shared" si="0"/>
        <v>1.4736842105263159E-2</v>
      </c>
    </row>
    <row r="11" spans="1:14" x14ac:dyDescent="0.2">
      <c r="A11" s="6">
        <v>7</v>
      </c>
      <c r="B11" s="7" t="s">
        <v>48</v>
      </c>
      <c r="C11" s="6" t="s">
        <v>49</v>
      </c>
      <c r="D11" s="8">
        <v>101.8</v>
      </c>
      <c r="E11" s="8">
        <v>109</v>
      </c>
      <c r="F11" s="8">
        <v>112</v>
      </c>
      <c r="G11" s="8">
        <v>111.3</v>
      </c>
      <c r="H11" s="8">
        <v>111</v>
      </c>
      <c r="I11" s="8">
        <v>110.4</v>
      </c>
      <c r="J11" s="8">
        <v>106</v>
      </c>
      <c r="K11" s="8">
        <v>103.6</v>
      </c>
      <c r="L11" s="8">
        <v>98</v>
      </c>
      <c r="M11" s="8">
        <v>97.3</v>
      </c>
      <c r="N11" s="10">
        <f t="shared" si="0"/>
        <v>-4.4204322200392943E-2</v>
      </c>
    </row>
    <row r="12" spans="1:14" x14ac:dyDescent="0.2">
      <c r="A12" s="6">
        <v>8</v>
      </c>
      <c r="B12" s="7" t="s">
        <v>51</v>
      </c>
      <c r="C12" s="6" t="s">
        <v>52</v>
      </c>
      <c r="D12" s="8">
        <v>17.2</v>
      </c>
      <c r="E12" s="8">
        <v>17.600000000000001</v>
      </c>
      <c r="F12" s="8">
        <v>17.899999999999999</v>
      </c>
      <c r="G12" s="8">
        <v>18.100000000000001</v>
      </c>
      <c r="H12" s="8">
        <v>19.2</v>
      </c>
      <c r="I12" s="8">
        <v>20.7</v>
      </c>
      <c r="J12" s="8">
        <v>20.8</v>
      </c>
      <c r="K12" s="8">
        <v>20.3</v>
      </c>
      <c r="L12" s="8">
        <v>20.3</v>
      </c>
      <c r="M12" s="8">
        <v>20.100000000000001</v>
      </c>
      <c r="N12" s="10">
        <f t="shared" si="0"/>
        <v>0.16860465116279078</v>
      </c>
    </row>
    <row r="13" spans="1:14" x14ac:dyDescent="0.2">
      <c r="A13" s="6">
        <v>9</v>
      </c>
      <c r="B13" s="7" t="s">
        <v>55</v>
      </c>
      <c r="C13" s="6" t="s">
        <v>56</v>
      </c>
      <c r="D13" s="8">
        <v>79.2</v>
      </c>
      <c r="E13" s="8">
        <v>79.900000000000006</v>
      </c>
      <c r="F13" s="8">
        <v>80.3</v>
      </c>
      <c r="G13" s="8">
        <v>80.3</v>
      </c>
      <c r="H13" s="8">
        <v>80.5</v>
      </c>
      <c r="I13" s="8">
        <v>80.599999999999994</v>
      </c>
      <c r="J13" s="8">
        <v>80.8</v>
      </c>
      <c r="K13" s="8">
        <v>82.6</v>
      </c>
      <c r="L13" s="8">
        <v>83.4</v>
      </c>
      <c r="M13" s="8">
        <v>83.7</v>
      </c>
      <c r="N13" s="10">
        <f t="shared" si="0"/>
        <v>5.6818181818181879E-2</v>
      </c>
    </row>
    <row r="14" spans="1:14" x14ac:dyDescent="0.2">
      <c r="A14" s="6">
        <v>10</v>
      </c>
      <c r="B14" s="7" t="s">
        <v>58</v>
      </c>
      <c r="C14" s="6" t="s">
        <v>59</v>
      </c>
      <c r="D14" s="8">
        <v>32.1</v>
      </c>
      <c r="E14" s="8">
        <v>32.200000000000003</v>
      </c>
      <c r="F14" s="8">
        <v>32.299999999999997</v>
      </c>
      <c r="G14" s="8">
        <v>32.4</v>
      </c>
      <c r="H14" s="8">
        <v>32</v>
      </c>
      <c r="I14" s="8">
        <v>31.6</v>
      </c>
      <c r="J14" s="8">
        <v>30.7</v>
      </c>
      <c r="K14" s="8">
        <v>30.7</v>
      </c>
      <c r="L14" s="8">
        <v>30.5</v>
      </c>
      <c r="M14" s="8">
        <v>30.1</v>
      </c>
      <c r="N14" s="10">
        <f t="shared" si="0"/>
        <v>-6.230529595015577E-2</v>
      </c>
    </row>
    <row r="15" spans="1:14" x14ac:dyDescent="0.2">
      <c r="A15" s="6">
        <v>11</v>
      </c>
      <c r="B15" s="7" t="s">
        <v>61</v>
      </c>
      <c r="C15" s="6" t="s">
        <v>62</v>
      </c>
      <c r="D15" s="8">
        <v>27.3</v>
      </c>
      <c r="E15" s="8">
        <v>27.3</v>
      </c>
      <c r="F15" s="8">
        <v>27.3</v>
      </c>
      <c r="G15" s="8">
        <v>27.3</v>
      </c>
      <c r="H15" s="8">
        <v>27.3</v>
      </c>
      <c r="I15" s="8">
        <v>27.3</v>
      </c>
      <c r="J15" s="8">
        <v>27.3</v>
      </c>
      <c r="K15" s="8">
        <v>27.6</v>
      </c>
      <c r="L15" s="8">
        <v>27.5</v>
      </c>
      <c r="M15" s="8">
        <v>27.6</v>
      </c>
      <c r="N15" s="10">
        <f t="shared" si="0"/>
        <v>1.098901098901095E-2</v>
      </c>
    </row>
    <row r="16" spans="1:14" ht="30" x14ac:dyDescent="0.2">
      <c r="A16" s="6">
        <v>12</v>
      </c>
      <c r="B16" s="7" t="s">
        <v>64</v>
      </c>
      <c r="C16" s="6" t="s">
        <v>65</v>
      </c>
      <c r="D16" s="8">
        <v>11.3</v>
      </c>
      <c r="E16" s="8">
        <v>11.3</v>
      </c>
      <c r="F16" s="8">
        <v>11.3</v>
      </c>
      <c r="G16" s="8">
        <v>11.3</v>
      </c>
      <c r="H16" s="8">
        <v>11.3</v>
      </c>
      <c r="I16" s="8">
        <v>11.3</v>
      </c>
      <c r="J16" s="8">
        <v>11.3</v>
      </c>
      <c r="K16" s="8">
        <v>11.3</v>
      </c>
      <c r="L16" s="8">
        <v>11.3</v>
      </c>
      <c r="M16" s="8">
        <v>11.3</v>
      </c>
      <c r="N16" s="10">
        <f t="shared" si="0"/>
        <v>0</v>
      </c>
    </row>
    <row r="17" spans="1:14" ht="30" x14ac:dyDescent="0.2">
      <c r="A17" s="6">
        <v>13</v>
      </c>
      <c r="B17" s="7" t="s">
        <v>67</v>
      </c>
      <c r="C17" s="6" t="s">
        <v>68</v>
      </c>
      <c r="D17" s="8">
        <v>2.2999999999999998</v>
      </c>
      <c r="E17" s="8">
        <v>2.99</v>
      </c>
      <c r="F17" s="8">
        <v>2.88</v>
      </c>
      <c r="G17" s="8">
        <v>2.78</v>
      </c>
      <c r="H17" s="8">
        <v>2.0099999999999998</v>
      </c>
      <c r="I17" s="8">
        <v>1.99</v>
      </c>
      <c r="J17" s="8">
        <v>3.29</v>
      </c>
      <c r="K17" s="8">
        <v>2.63</v>
      </c>
      <c r="L17" s="8">
        <v>2.5499999999999998</v>
      </c>
      <c r="M17" s="8">
        <v>2.44</v>
      </c>
      <c r="N17" s="10">
        <f t="shared" si="0"/>
        <v>6.0869565217391397E-2</v>
      </c>
    </row>
    <row r="18" spans="1:14" x14ac:dyDescent="0.2">
      <c r="A18" s="6">
        <v>14</v>
      </c>
      <c r="B18" s="7" t="s">
        <v>70</v>
      </c>
      <c r="C18" s="6" t="s">
        <v>71</v>
      </c>
      <c r="D18" s="8">
        <v>16.600000000000001</v>
      </c>
      <c r="E18" s="8">
        <v>16.7</v>
      </c>
      <c r="F18" s="8">
        <v>16.8</v>
      </c>
      <c r="G18" s="8">
        <v>16.899999999999999</v>
      </c>
      <c r="H18" s="8">
        <v>16.600000000000001</v>
      </c>
      <c r="I18" s="8">
        <v>16.8</v>
      </c>
      <c r="J18" s="8">
        <v>16.5</v>
      </c>
      <c r="K18" s="8">
        <v>16</v>
      </c>
      <c r="L18" s="8">
        <v>15.8</v>
      </c>
      <c r="M18" s="8">
        <v>15.2</v>
      </c>
      <c r="N18" s="10">
        <f t="shared" si="0"/>
        <v>-8.4337349397590522E-2</v>
      </c>
    </row>
    <row r="19" spans="1:14" x14ac:dyDescent="0.2">
      <c r="A19" s="6">
        <v>15</v>
      </c>
      <c r="B19" s="7" t="s">
        <v>73</v>
      </c>
      <c r="C19" s="6" t="s">
        <v>74</v>
      </c>
      <c r="D19" s="8">
        <v>71.599999999999994</v>
      </c>
      <c r="E19" s="8">
        <v>71.7</v>
      </c>
      <c r="F19" s="8">
        <v>70.5</v>
      </c>
      <c r="G19" s="8">
        <v>67</v>
      </c>
      <c r="H19" s="8">
        <v>67.2</v>
      </c>
      <c r="I19" s="8">
        <v>71.3</v>
      </c>
      <c r="J19" s="8">
        <v>69.599999999999994</v>
      </c>
      <c r="K19" s="8">
        <v>68.2</v>
      </c>
      <c r="L19" s="8">
        <v>67.400000000000006</v>
      </c>
      <c r="M19" s="8">
        <v>63.3</v>
      </c>
      <c r="N19" s="10">
        <f t="shared" si="0"/>
        <v>-0.11592178770949713</v>
      </c>
    </row>
    <row r="20" spans="1:14" x14ac:dyDescent="0.2">
      <c r="A20" s="6">
        <v>16</v>
      </c>
      <c r="B20" s="7" t="s">
        <v>76</v>
      </c>
      <c r="C20" s="6" t="s">
        <v>77</v>
      </c>
      <c r="D20" s="8">
        <v>29</v>
      </c>
      <c r="E20" s="8">
        <v>28.8</v>
      </c>
      <c r="F20" s="8">
        <v>29.2</v>
      </c>
      <c r="G20" s="8">
        <v>31.4</v>
      </c>
      <c r="H20" s="8">
        <v>31.5</v>
      </c>
      <c r="I20" s="8">
        <v>28.5</v>
      </c>
      <c r="J20" s="8">
        <v>31.8</v>
      </c>
      <c r="K20" s="8">
        <v>33.5</v>
      </c>
      <c r="L20" s="8">
        <v>32.5</v>
      </c>
      <c r="M20" s="8">
        <v>33</v>
      </c>
      <c r="N20" s="10">
        <f t="shared" si="0"/>
        <v>0.13793103448275867</v>
      </c>
    </row>
    <row r="21" spans="1:14" x14ac:dyDescent="0.2">
      <c r="A21" s="6">
        <v>17</v>
      </c>
      <c r="B21" s="7" t="s">
        <v>79</v>
      </c>
      <c r="C21" s="6" t="s">
        <v>80</v>
      </c>
      <c r="D21" s="8">
        <v>146.9</v>
      </c>
      <c r="E21" s="8">
        <v>140.4</v>
      </c>
      <c r="F21" s="8">
        <v>140.4</v>
      </c>
      <c r="G21" s="8">
        <v>140.69999999999999</v>
      </c>
      <c r="H21" s="8">
        <v>134.9</v>
      </c>
      <c r="I21" s="8">
        <v>137.19999999999999</v>
      </c>
      <c r="J21" s="8">
        <v>145.69999999999999</v>
      </c>
      <c r="K21" s="8">
        <v>144.80000000000001</v>
      </c>
      <c r="L21" s="8">
        <v>145</v>
      </c>
      <c r="M21" s="8">
        <v>131</v>
      </c>
      <c r="N21" s="10">
        <f t="shared" si="0"/>
        <v>-0.10823689584751539</v>
      </c>
    </row>
    <row r="22" spans="1:14" ht="30" x14ac:dyDescent="0.2">
      <c r="A22" s="6">
        <v>18</v>
      </c>
      <c r="B22" s="7" t="s">
        <v>82</v>
      </c>
      <c r="C22" s="6" t="s">
        <v>83</v>
      </c>
      <c r="D22" s="8">
        <v>79.2</v>
      </c>
      <c r="E22" s="8">
        <v>79.099999999999994</v>
      </c>
      <c r="F22" s="8">
        <v>84</v>
      </c>
      <c r="G22" s="8">
        <v>86.5</v>
      </c>
      <c r="H22" s="8">
        <v>85.2</v>
      </c>
      <c r="I22" s="8">
        <v>85.5</v>
      </c>
      <c r="J22" s="8">
        <v>83.5</v>
      </c>
      <c r="K22" s="8">
        <v>80.3</v>
      </c>
      <c r="L22" s="8">
        <v>77</v>
      </c>
      <c r="M22" s="8">
        <v>76.7</v>
      </c>
      <c r="N22" s="10">
        <f t="shared" si="0"/>
        <v>-3.1565656565656575E-2</v>
      </c>
    </row>
    <row r="23" spans="1:14" x14ac:dyDescent="0.2">
      <c r="A23" s="6">
        <v>19</v>
      </c>
      <c r="B23" s="7" t="s">
        <v>85</v>
      </c>
      <c r="C23" s="6" t="s">
        <v>86</v>
      </c>
      <c r="D23" s="8">
        <v>53.1</v>
      </c>
      <c r="E23" s="8">
        <v>53.8</v>
      </c>
      <c r="F23" s="8">
        <v>54.5</v>
      </c>
      <c r="G23" s="8">
        <v>56</v>
      </c>
      <c r="H23" s="8">
        <v>55.8</v>
      </c>
      <c r="I23" s="8">
        <v>66.8</v>
      </c>
      <c r="J23" s="8">
        <v>59</v>
      </c>
      <c r="K23" s="8">
        <v>55</v>
      </c>
      <c r="L23" s="8">
        <v>55.9</v>
      </c>
      <c r="M23" s="8">
        <v>58.6</v>
      </c>
      <c r="N23" s="10">
        <f t="shared" si="0"/>
        <v>0.10357815442561202</v>
      </c>
    </row>
    <row r="24" spans="1:14" x14ac:dyDescent="0.2">
      <c r="A24" s="6">
        <v>20</v>
      </c>
      <c r="B24" s="7" t="s">
        <v>88</v>
      </c>
      <c r="C24" s="6" t="s">
        <v>89</v>
      </c>
      <c r="D24" s="8">
        <v>4.59</v>
      </c>
      <c r="E24" s="8">
        <v>4.59</v>
      </c>
      <c r="F24" s="8">
        <v>4.59</v>
      </c>
      <c r="G24" s="8">
        <v>4.59</v>
      </c>
      <c r="H24" s="8">
        <v>4.59</v>
      </c>
      <c r="I24" s="8">
        <v>4.59</v>
      </c>
      <c r="J24" s="8">
        <v>4.59</v>
      </c>
      <c r="K24" s="8">
        <v>4.59</v>
      </c>
      <c r="L24" s="8">
        <v>4.59</v>
      </c>
      <c r="M24" s="8">
        <v>4.59</v>
      </c>
      <c r="N24" s="10">
        <f t="shared" si="0"/>
        <v>0</v>
      </c>
    </row>
    <row r="25" spans="1:14" ht="30" x14ac:dyDescent="0.2">
      <c r="A25" s="6">
        <v>21</v>
      </c>
      <c r="B25" s="7" t="s">
        <v>91</v>
      </c>
      <c r="C25" s="6" t="s">
        <v>92</v>
      </c>
      <c r="D25" s="8">
        <v>6.71</v>
      </c>
      <c r="E25" s="8">
        <v>6.22</v>
      </c>
      <c r="F25" s="8">
        <v>6.05</v>
      </c>
      <c r="G25" s="8">
        <v>6.06</v>
      </c>
      <c r="H25" s="8">
        <v>6.13</v>
      </c>
      <c r="I25" s="8">
        <v>6.35</v>
      </c>
      <c r="J25" s="8">
        <v>6.3</v>
      </c>
      <c r="K25" s="8">
        <v>6.48</v>
      </c>
      <c r="L25" s="8">
        <v>6.8</v>
      </c>
      <c r="M25" s="8">
        <v>7.02</v>
      </c>
      <c r="N25" s="10">
        <f t="shared" si="0"/>
        <v>4.6199701937406745E-2</v>
      </c>
    </row>
    <row r="26" spans="1:14" x14ac:dyDescent="0.2">
      <c r="A26" s="6">
        <v>22</v>
      </c>
      <c r="B26" s="7" t="s">
        <v>94</v>
      </c>
      <c r="C26" s="6" t="s">
        <v>95</v>
      </c>
      <c r="D26" s="8">
        <v>36.9</v>
      </c>
      <c r="E26" s="8">
        <v>33.1</v>
      </c>
      <c r="F26" s="8">
        <v>31.3</v>
      </c>
      <c r="G26" s="8">
        <v>29.9</v>
      </c>
      <c r="H26" s="8">
        <v>28.5</v>
      </c>
      <c r="I26" s="8">
        <v>28.6</v>
      </c>
      <c r="J26" s="8">
        <v>28.1</v>
      </c>
      <c r="K26" s="8">
        <v>27.4</v>
      </c>
      <c r="L26" s="8">
        <v>27.4</v>
      </c>
      <c r="M26" s="8">
        <v>27.5</v>
      </c>
      <c r="N26" s="10">
        <f t="shared" si="0"/>
        <v>-0.2547425474254742</v>
      </c>
    </row>
    <row r="27" spans="1:14" x14ac:dyDescent="0.2">
      <c r="A27" s="6">
        <v>23</v>
      </c>
      <c r="B27" s="7" t="s">
        <v>97</v>
      </c>
      <c r="C27" s="6" t="s">
        <v>98</v>
      </c>
      <c r="D27" s="8">
        <v>14.5</v>
      </c>
      <c r="E27" s="8">
        <v>14.7</v>
      </c>
      <c r="F27" s="8">
        <v>14.6</v>
      </c>
      <c r="G27" s="8">
        <v>14.2</v>
      </c>
      <c r="H27" s="8">
        <v>13.3</v>
      </c>
      <c r="I27" s="8">
        <v>12.9</v>
      </c>
      <c r="J27" s="8">
        <v>12.6</v>
      </c>
      <c r="K27" s="8">
        <v>12.3</v>
      </c>
      <c r="L27" s="8">
        <v>11.9</v>
      </c>
      <c r="M27" s="8">
        <v>11.6</v>
      </c>
      <c r="N27" s="10">
        <f t="shared" si="0"/>
        <v>-0.20000000000000007</v>
      </c>
    </row>
    <row r="28" spans="1:14" x14ac:dyDescent="0.2">
      <c r="A28" s="6">
        <v>24</v>
      </c>
      <c r="B28" s="7" t="s">
        <v>100</v>
      </c>
      <c r="C28" s="6" t="s">
        <v>101</v>
      </c>
      <c r="D28" s="8">
        <v>0.70299999999999996</v>
      </c>
      <c r="E28" s="8">
        <v>0.69399999999999995</v>
      </c>
      <c r="F28" s="8">
        <v>0.65500000000000003</v>
      </c>
      <c r="G28" s="8">
        <v>0.59599999999999997</v>
      </c>
      <c r="H28" s="8">
        <v>0.56399999999999995</v>
      </c>
      <c r="I28" s="8">
        <v>0.57499999999999996</v>
      </c>
      <c r="J28" s="8">
        <v>0.58599999999999997</v>
      </c>
      <c r="K28" s="8">
        <v>0.59899999999999998</v>
      </c>
      <c r="L28" s="8">
        <v>0.60899999999999999</v>
      </c>
      <c r="M28" s="8">
        <v>0.61799999999999999</v>
      </c>
      <c r="N28" s="10">
        <f t="shared" si="0"/>
        <v>-0.12091038406827881</v>
      </c>
    </row>
    <row r="29" spans="1:14" x14ac:dyDescent="0.2">
      <c r="A29" s="6">
        <v>25</v>
      </c>
      <c r="B29" s="7" t="s">
        <v>103</v>
      </c>
      <c r="C29" s="6" t="s">
        <v>104</v>
      </c>
      <c r="D29" s="8">
        <v>41.8</v>
      </c>
      <c r="E29" s="8">
        <v>41.3</v>
      </c>
      <c r="F29" s="8">
        <v>41.5</v>
      </c>
      <c r="G29" s="8">
        <v>40.4</v>
      </c>
      <c r="H29" s="8">
        <v>38.799999999999997</v>
      </c>
      <c r="I29" s="8">
        <v>38.9</v>
      </c>
      <c r="J29" s="8">
        <v>39</v>
      </c>
      <c r="K29" s="8">
        <v>38.299999999999997</v>
      </c>
      <c r="L29" s="8">
        <v>38</v>
      </c>
      <c r="M29" s="8">
        <v>38</v>
      </c>
      <c r="N29" s="10">
        <f t="shared" si="0"/>
        <v>-9.0909090909090828E-2</v>
      </c>
    </row>
    <row r="30" spans="1:14" ht="30" x14ac:dyDescent="0.2">
      <c r="A30" s="6">
        <v>26</v>
      </c>
      <c r="B30" s="7" t="s">
        <v>106</v>
      </c>
      <c r="C30" s="6" t="s">
        <v>107</v>
      </c>
      <c r="D30" s="8">
        <v>14.9</v>
      </c>
      <c r="E30" s="8">
        <v>15.1</v>
      </c>
      <c r="F30" s="8">
        <v>15.5</v>
      </c>
      <c r="G30" s="8">
        <v>15.3</v>
      </c>
      <c r="H30" s="8">
        <v>15.5</v>
      </c>
      <c r="I30" s="8">
        <v>16.100000000000001</v>
      </c>
      <c r="J30" s="8">
        <v>15.8</v>
      </c>
      <c r="K30" s="8">
        <v>16.2</v>
      </c>
      <c r="L30" s="8">
        <v>16.5</v>
      </c>
      <c r="M30" s="8">
        <v>15.3</v>
      </c>
      <c r="N30" s="10">
        <f t="shared" si="0"/>
        <v>2.6845637583892579E-2</v>
      </c>
    </row>
    <row r="31" spans="1:14" x14ac:dyDescent="0.2">
      <c r="A31" s="6">
        <v>27</v>
      </c>
      <c r="B31" s="7" t="s">
        <v>109</v>
      </c>
      <c r="C31" s="6" t="s">
        <v>110</v>
      </c>
      <c r="D31" s="8">
        <v>38.9</v>
      </c>
      <c r="E31" s="8">
        <v>38.9</v>
      </c>
      <c r="F31" s="8">
        <v>42.4</v>
      </c>
      <c r="G31" s="8">
        <v>38.200000000000003</v>
      </c>
      <c r="H31" s="8">
        <v>42</v>
      </c>
      <c r="I31" s="8">
        <v>42.9</v>
      </c>
      <c r="J31" s="8">
        <v>42.9</v>
      </c>
      <c r="K31" s="8">
        <v>43.1</v>
      </c>
      <c r="L31" s="8">
        <v>40</v>
      </c>
      <c r="M31" s="8">
        <v>40.6</v>
      </c>
      <c r="N31" s="10">
        <f t="shared" si="0"/>
        <v>4.3701799485861281E-2</v>
      </c>
    </row>
    <row r="32" spans="1:14" ht="30" x14ac:dyDescent="0.2">
      <c r="A32" s="6">
        <v>28</v>
      </c>
      <c r="B32" s="7" t="s">
        <v>112</v>
      </c>
      <c r="C32" s="6" t="s">
        <v>113</v>
      </c>
      <c r="D32" s="8">
        <v>33</v>
      </c>
      <c r="E32" s="8">
        <v>33.200000000000003</v>
      </c>
      <c r="F32" s="8">
        <v>33.200000000000003</v>
      </c>
      <c r="G32" s="8">
        <v>33.1</v>
      </c>
      <c r="H32" s="8">
        <v>33</v>
      </c>
      <c r="I32" s="8">
        <v>32.799999999999997</v>
      </c>
      <c r="J32" s="8">
        <v>33.4</v>
      </c>
      <c r="K32" s="8">
        <v>33</v>
      </c>
      <c r="L32" s="8">
        <v>32.9</v>
      </c>
      <c r="M32" s="8">
        <v>33.799999999999997</v>
      </c>
      <c r="N32" s="10">
        <f t="shared" si="0"/>
        <v>2.4242424242424176E-2</v>
      </c>
    </row>
    <row r="33" spans="1:14" x14ac:dyDescent="0.2">
      <c r="A33" s="6">
        <v>29</v>
      </c>
      <c r="B33" s="7" t="s">
        <v>115</v>
      </c>
      <c r="C33" s="6" t="s">
        <v>116</v>
      </c>
      <c r="D33" s="8">
        <v>28.6</v>
      </c>
      <c r="E33" s="8">
        <v>28.5</v>
      </c>
      <c r="F33" s="8">
        <v>28.3</v>
      </c>
      <c r="G33" s="8">
        <v>28.2</v>
      </c>
      <c r="H33" s="8">
        <v>28.1</v>
      </c>
      <c r="I33" s="8">
        <v>27.2</v>
      </c>
      <c r="J33" s="8">
        <v>26.2</v>
      </c>
      <c r="K33" s="8">
        <v>25.9</v>
      </c>
      <c r="L33" s="8">
        <v>24.9</v>
      </c>
      <c r="M33" s="8">
        <v>24.5</v>
      </c>
      <c r="N33" s="10">
        <f t="shared" si="0"/>
        <v>-0.14335664335664344</v>
      </c>
    </row>
    <row r="34" spans="1:14" x14ac:dyDescent="0.2">
      <c r="A34" s="6">
        <v>30</v>
      </c>
      <c r="B34" s="7" t="s">
        <v>118</v>
      </c>
      <c r="C34" s="6" t="s">
        <v>119</v>
      </c>
      <c r="D34" s="8">
        <v>23.1</v>
      </c>
      <c r="E34" s="8">
        <v>23.2</v>
      </c>
      <c r="F34" s="8">
        <v>22.9</v>
      </c>
      <c r="G34" s="8">
        <v>22.8</v>
      </c>
      <c r="H34" s="8">
        <v>22.8</v>
      </c>
      <c r="I34" s="8">
        <v>22.6</v>
      </c>
      <c r="J34" s="8">
        <v>22.1</v>
      </c>
      <c r="K34" s="8">
        <v>22.2</v>
      </c>
      <c r="L34" s="8">
        <v>22.2</v>
      </c>
      <c r="M34" s="8">
        <v>22.5</v>
      </c>
      <c r="N34" s="10">
        <f t="shared" si="0"/>
        <v>-2.5974025974025983E-2</v>
      </c>
    </row>
    <row r="35" spans="1:14" x14ac:dyDescent="0.2">
      <c r="A35" s="6">
        <v>31</v>
      </c>
      <c r="B35" s="7" t="s">
        <v>121</v>
      </c>
      <c r="C35" s="6" t="s">
        <v>122</v>
      </c>
      <c r="D35" s="8">
        <v>10</v>
      </c>
      <c r="E35" s="8">
        <v>10.1</v>
      </c>
      <c r="F35" s="8">
        <v>10.1</v>
      </c>
      <c r="G35" s="8">
        <v>10.1</v>
      </c>
      <c r="H35" s="8">
        <v>10.199999999999999</v>
      </c>
      <c r="I35" s="8">
        <v>10.1</v>
      </c>
      <c r="J35" s="8">
        <v>10.1</v>
      </c>
      <c r="K35" s="8">
        <v>10.199999999999999</v>
      </c>
      <c r="L35" s="8">
        <v>10.3</v>
      </c>
      <c r="M35" s="8">
        <v>10.6</v>
      </c>
      <c r="N35" s="10">
        <f t="shared" si="0"/>
        <v>6.0000000000000053E-2</v>
      </c>
    </row>
    <row r="36" spans="1:14" x14ac:dyDescent="0.2">
      <c r="A36" s="6">
        <v>32</v>
      </c>
      <c r="B36" s="7" t="s">
        <v>124</v>
      </c>
      <c r="C36" s="6" t="s">
        <v>125</v>
      </c>
      <c r="D36" s="8">
        <v>27.1</v>
      </c>
      <c r="E36" s="8">
        <v>26.8</v>
      </c>
      <c r="F36" s="8">
        <v>27</v>
      </c>
      <c r="G36" s="8">
        <v>27</v>
      </c>
      <c r="H36" s="8">
        <v>27.4</v>
      </c>
      <c r="I36" s="8">
        <v>26.8</v>
      </c>
      <c r="J36" s="8">
        <v>25.8</v>
      </c>
      <c r="K36" s="8">
        <v>25.4</v>
      </c>
      <c r="L36" s="8">
        <v>25.2</v>
      </c>
      <c r="M36" s="8">
        <v>26</v>
      </c>
      <c r="N36" s="10">
        <f t="shared" si="0"/>
        <v>-4.0590405904059046E-2</v>
      </c>
    </row>
    <row r="37" spans="1:14" ht="30" x14ac:dyDescent="0.2">
      <c r="A37" s="6">
        <v>33</v>
      </c>
      <c r="B37" s="7" t="s">
        <v>127</v>
      </c>
      <c r="C37" s="6" t="s">
        <v>128</v>
      </c>
      <c r="D37" s="8">
        <v>22.2</v>
      </c>
      <c r="E37" s="8">
        <v>24.3</v>
      </c>
      <c r="F37" s="8">
        <v>24.7</v>
      </c>
      <c r="G37" s="8">
        <v>24.7</v>
      </c>
      <c r="H37" s="8">
        <v>24.6</v>
      </c>
      <c r="I37" s="8">
        <v>24.7</v>
      </c>
      <c r="J37" s="8">
        <v>24.6</v>
      </c>
      <c r="K37" s="8">
        <v>24.2</v>
      </c>
      <c r="L37" s="8">
        <v>24.2</v>
      </c>
      <c r="M37" s="8">
        <v>25.4</v>
      </c>
      <c r="N37" s="10">
        <f t="shared" ref="N37:N68" si="1">IF(D37=0,"N/A",(M37/D37)-1)</f>
        <v>0.14414414414414423</v>
      </c>
    </row>
    <row r="38" spans="1:14" x14ac:dyDescent="0.2">
      <c r="A38" s="6">
        <v>34</v>
      </c>
      <c r="B38" s="7" t="s">
        <v>130</v>
      </c>
      <c r="C38" s="6" t="s">
        <v>131</v>
      </c>
      <c r="D38" s="8">
        <v>6.27</v>
      </c>
      <c r="E38" s="8">
        <v>6.28</v>
      </c>
      <c r="F38" s="8">
        <v>6.28</v>
      </c>
      <c r="G38" s="8">
        <v>6.39</v>
      </c>
      <c r="H38" s="8">
        <v>6.44</v>
      </c>
      <c r="I38" s="8">
        <v>6.51</v>
      </c>
      <c r="J38" s="8">
        <v>6.48</v>
      </c>
      <c r="K38" s="8">
        <v>6.44</v>
      </c>
      <c r="L38" s="8">
        <v>6.34</v>
      </c>
      <c r="M38" s="8">
        <v>6.34</v>
      </c>
      <c r="N38" s="10">
        <f t="shared" si="1"/>
        <v>1.1164274322169154E-2</v>
      </c>
    </row>
    <row r="39" spans="1:14" ht="30" x14ac:dyDescent="0.2">
      <c r="A39" s="6">
        <v>35</v>
      </c>
      <c r="B39" s="7" t="s">
        <v>133</v>
      </c>
      <c r="C39" s="6" t="s">
        <v>134</v>
      </c>
      <c r="D39" s="8">
        <v>24.1</v>
      </c>
      <c r="E39" s="8">
        <v>24.1</v>
      </c>
      <c r="F39" s="8">
        <v>24.1</v>
      </c>
      <c r="G39" s="8">
        <v>24.1</v>
      </c>
      <c r="H39" s="8">
        <v>23.7</v>
      </c>
      <c r="I39" s="8">
        <v>23.6</v>
      </c>
      <c r="J39" s="8">
        <v>22.6</v>
      </c>
      <c r="K39" s="8">
        <v>22.3</v>
      </c>
      <c r="L39" s="8">
        <v>22.4</v>
      </c>
      <c r="M39" s="8">
        <v>22.3</v>
      </c>
      <c r="N39" s="10">
        <f t="shared" si="1"/>
        <v>-7.4688796680497993E-2</v>
      </c>
    </row>
    <row r="40" spans="1:14" x14ac:dyDescent="0.2">
      <c r="A40" s="6">
        <v>36</v>
      </c>
      <c r="B40" s="7" t="s">
        <v>136</v>
      </c>
      <c r="C40" s="6" t="s">
        <v>137</v>
      </c>
      <c r="D40" s="8">
        <v>8.3800000000000008</v>
      </c>
      <c r="E40" s="8">
        <v>8.56</v>
      </c>
      <c r="F40" s="8">
        <v>8.6300000000000008</v>
      </c>
      <c r="G40" s="8">
        <v>8.65</v>
      </c>
      <c r="H40" s="8">
        <v>8.94</v>
      </c>
      <c r="I40" s="8">
        <v>8.84</v>
      </c>
      <c r="J40" s="8">
        <v>8.7200000000000006</v>
      </c>
      <c r="K40" s="8">
        <v>8.75</v>
      </c>
      <c r="L40" s="8">
        <v>8.9600000000000009</v>
      </c>
      <c r="M40" s="8">
        <v>8.77</v>
      </c>
      <c r="N40" s="10">
        <f t="shared" si="1"/>
        <v>4.6539379474940246E-2</v>
      </c>
    </row>
    <row r="41" spans="1:14" x14ac:dyDescent="0.2">
      <c r="A41" s="6">
        <v>37</v>
      </c>
      <c r="B41" s="7" t="s">
        <v>139</v>
      </c>
      <c r="C41" s="6" t="s">
        <v>140</v>
      </c>
      <c r="D41" s="8">
        <v>18.3</v>
      </c>
      <c r="E41" s="8">
        <v>18.2</v>
      </c>
      <c r="F41" s="8">
        <v>18.399999999999999</v>
      </c>
      <c r="G41" s="8">
        <v>18.5</v>
      </c>
      <c r="H41" s="8">
        <v>18.899999999999999</v>
      </c>
      <c r="I41" s="8">
        <v>19.399999999999999</v>
      </c>
      <c r="J41" s="8">
        <v>19.2</v>
      </c>
      <c r="K41" s="8">
        <v>19.3</v>
      </c>
      <c r="L41" s="8">
        <v>19.100000000000001</v>
      </c>
      <c r="M41" s="8">
        <v>19</v>
      </c>
      <c r="N41" s="10">
        <f t="shared" si="1"/>
        <v>3.8251366120218622E-2</v>
      </c>
    </row>
    <row r="42" spans="1:14" x14ac:dyDescent="0.2">
      <c r="A42" s="6">
        <v>38</v>
      </c>
      <c r="B42" s="7" t="s">
        <v>142</v>
      </c>
      <c r="C42" s="6" t="s">
        <v>143</v>
      </c>
      <c r="D42" s="8">
        <v>23.2</v>
      </c>
      <c r="E42" s="8">
        <v>23.3</v>
      </c>
      <c r="F42" s="8">
        <v>23.3</v>
      </c>
      <c r="G42" s="8">
        <v>23.4</v>
      </c>
      <c r="H42" s="8">
        <v>23.2</v>
      </c>
      <c r="I42" s="8">
        <v>23.6</v>
      </c>
      <c r="J42" s="8">
        <v>23.2</v>
      </c>
      <c r="K42" s="8">
        <v>22.7</v>
      </c>
      <c r="L42" s="8">
        <v>22.6</v>
      </c>
      <c r="M42" s="8">
        <v>22.5</v>
      </c>
      <c r="N42" s="10">
        <f t="shared" si="1"/>
        <v>-3.0172413793103425E-2</v>
      </c>
    </row>
    <row r="43" spans="1:14" x14ac:dyDescent="0.2">
      <c r="A43" s="6">
        <v>39</v>
      </c>
      <c r="B43" s="7" t="s">
        <v>145</v>
      </c>
      <c r="C43" s="6" t="s">
        <v>146</v>
      </c>
      <c r="D43" s="8">
        <v>83.6</v>
      </c>
      <c r="E43" s="8">
        <v>82.1</v>
      </c>
      <c r="F43" s="8">
        <v>81.900000000000006</v>
      </c>
      <c r="G43" s="8">
        <v>80.8</v>
      </c>
      <c r="H43" s="8">
        <v>81.8</v>
      </c>
      <c r="I43" s="8">
        <v>88</v>
      </c>
      <c r="J43" s="8">
        <v>87.3</v>
      </c>
      <c r="K43" s="8">
        <v>84.3</v>
      </c>
      <c r="L43" s="8">
        <v>86.1</v>
      </c>
      <c r="M43" s="8">
        <v>88</v>
      </c>
      <c r="N43" s="10">
        <f t="shared" si="1"/>
        <v>5.2631578947368585E-2</v>
      </c>
    </row>
    <row r="44" spans="1:14" x14ac:dyDescent="0.2">
      <c r="A44" s="6">
        <v>40</v>
      </c>
      <c r="B44" s="7" t="s">
        <v>148</v>
      </c>
      <c r="C44" s="6" t="s">
        <v>149</v>
      </c>
      <c r="D44" s="8">
        <v>30.9</v>
      </c>
      <c r="E44" s="8">
        <v>31.1</v>
      </c>
      <c r="F44" s="8">
        <v>31.6</v>
      </c>
      <c r="G44" s="8">
        <v>31.9</v>
      </c>
      <c r="H44" s="8">
        <v>32.1</v>
      </c>
      <c r="I44" s="8">
        <v>32.200000000000003</v>
      </c>
      <c r="J44" s="8">
        <v>32.200000000000003</v>
      </c>
      <c r="K44" s="8">
        <v>32.299999999999997</v>
      </c>
      <c r="L44" s="8">
        <v>32.799999999999997</v>
      </c>
      <c r="M44" s="8">
        <v>33.200000000000003</v>
      </c>
      <c r="N44" s="10">
        <f t="shared" si="1"/>
        <v>7.4433656957928918E-2</v>
      </c>
    </row>
    <row r="45" spans="1:14" x14ac:dyDescent="0.2">
      <c r="A45" s="6">
        <v>41</v>
      </c>
      <c r="B45" s="7" t="s">
        <v>151</v>
      </c>
      <c r="C45" s="6" t="s">
        <v>152</v>
      </c>
      <c r="D45" s="8">
        <v>83.6</v>
      </c>
      <c r="E45" s="8">
        <v>80.7</v>
      </c>
      <c r="F45" s="8">
        <v>81.400000000000006</v>
      </c>
      <c r="G45" s="8">
        <v>75.5</v>
      </c>
      <c r="H45" s="8">
        <v>72</v>
      </c>
      <c r="I45" s="8">
        <v>76</v>
      </c>
      <c r="J45" s="8">
        <v>74.3</v>
      </c>
      <c r="K45" s="8">
        <v>66.099999999999994</v>
      </c>
      <c r="L45" s="8">
        <v>55.8</v>
      </c>
      <c r="M45" s="8">
        <v>48.7</v>
      </c>
      <c r="N45" s="10">
        <f t="shared" si="1"/>
        <v>-0.41746411483253576</v>
      </c>
    </row>
    <row r="46" spans="1:14" x14ac:dyDescent="0.2">
      <c r="A46" s="6">
        <v>42</v>
      </c>
      <c r="B46" s="7" t="s">
        <v>154</v>
      </c>
      <c r="C46" s="6" t="s">
        <v>155</v>
      </c>
      <c r="D46" s="8">
        <v>14.3</v>
      </c>
      <c r="E46" s="8">
        <v>14.4</v>
      </c>
      <c r="F46" s="8">
        <v>14.5</v>
      </c>
      <c r="G46" s="8">
        <v>14.6</v>
      </c>
      <c r="H46" s="8">
        <v>14.5</v>
      </c>
      <c r="I46" s="8">
        <v>14.4</v>
      </c>
      <c r="J46" s="8">
        <v>13.6</v>
      </c>
      <c r="K46" s="8">
        <v>13.6</v>
      </c>
      <c r="L46" s="8">
        <v>13.8</v>
      </c>
      <c r="M46" s="8">
        <v>13.9</v>
      </c>
      <c r="N46" s="10">
        <f t="shared" si="1"/>
        <v>-2.7972027972028024E-2</v>
      </c>
    </row>
    <row r="47" spans="1:14" x14ac:dyDescent="0.2">
      <c r="A47" s="6">
        <v>43</v>
      </c>
      <c r="B47" s="7" t="s">
        <v>157</v>
      </c>
      <c r="C47" s="6" t="s">
        <v>158</v>
      </c>
      <c r="D47" s="8">
        <v>24.7</v>
      </c>
      <c r="E47" s="8">
        <v>24.7</v>
      </c>
      <c r="F47" s="8">
        <v>24.5</v>
      </c>
      <c r="G47" s="8">
        <v>24.3</v>
      </c>
      <c r="H47" s="8">
        <v>23.8</v>
      </c>
      <c r="I47" s="8">
        <v>23</v>
      </c>
      <c r="J47" s="8">
        <v>22.5</v>
      </c>
      <c r="K47" s="8">
        <v>21.8</v>
      </c>
      <c r="L47" s="8">
        <v>21.2</v>
      </c>
      <c r="M47" s="8">
        <v>20.8</v>
      </c>
      <c r="N47" s="10">
        <f t="shared" si="1"/>
        <v>-0.1578947368421052</v>
      </c>
    </row>
    <row r="48" spans="1:14" x14ac:dyDescent="0.2">
      <c r="A48" s="6">
        <v>44</v>
      </c>
      <c r="B48" s="7" t="s">
        <v>160</v>
      </c>
      <c r="C48" s="6" t="s">
        <v>161</v>
      </c>
      <c r="D48" s="8">
        <v>16.7</v>
      </c>
      <c r="E48" s="8">
        <v>16.7</v>
      </c>
      <c r="F48" s="8">
        <v>16.7</v>
      </c>
      <c r="G48" s="8">
        <v>16.7</v>
      </c>
      <c r="H48" s="8">
        <v>16.7</v>
      </c>
      <c r="I48" s="8">
        <v>16.7</v>
      </c>
      <c r="J48" s="8">
        <v>16.8</v>
      </c>
      <c r="K48" s="8">
        <v>17.100000000000001</v>
      </c>
      <c r="L48" s="8">
        <v>17.600000000000001</v>
      </c>
      <c r="M48" s="8">
        <v>18.2</v>
      </c>
      <c r="N48" s="10">
        <f t="shared" si="1"/>
        <v>8.9820359281437057E-2</v>
      </c>
    </row>
    <row r="49" spans="1:14" x14ac:dyDescent="0.2">
      <c r="A49" s="6">
        <v>45</v>
      </c>
      <c r="B49" s="7" t="s">
        <v>163</v>
      </c>
      <c r="C49" s="6" t="s">
        <v>164</v>
      </c>
      <c r="D49" s="8">
        <v>83.6</v>
      </c>
      <c r="E49" s="8">
        <v>26.6</v>
      </c>
      <c r="F49" s="8">
        <v>88.9</v>
      </c>
      <c r="G49" s="8">
        <v>37.4</v>
      </c>
      <c r="H49" s="8">
        <v>40</v>
      </c>
      <c r="I49" s="8">
        <v>89.8</v>
      </c>
      <c r="J49" s="8">
        <v>42.9</v>
      </c>
      <c r="K49" s="8">
        <v>85</v>
      </c>
      <c r="L49" s="8">
        <v>48</v>
      </c>
      <c r="M49" s="8">
        <v>62.7</v>
      </c>
      <c r="N49" s="10">
        <f t="shared" si="1"/>
        <v>-0.24999999999999989</v>
      </c>
    </row>
    <row r="50" spans="1:14" x14ac:dyDescent="0.2">
      <c r="A50" s="6">
        <v>46</v>
      </c>
      <c r="B50" s="7" t="s">
        <v>166</v>
      </c>
      <c r="C50" s="6" t="s">
        <v>167</v>
      </c>
      <c r="D50" s="8">
        <v>23</v>
      </c>
      <c r="E50" s="8">
        <v>25</v>
      </c>
      <c r="F50" s="8">
        <v>27.5</v>
      </c>
      <c r="G50" s="8">
        <v>27.3</v>
      </c>
      <c r="H50" s="8">
        <v>25.9</v>
      </c>
      <c r="I50" s="8">
        <v>23.9</v>
      </c>
      <c r="J50" s="8">
        <v>23.6</v>
      </c>
      <c r="K50" s="8">
        <v>22.7</v>
      </c>
      <c r="L50" s="8">
        <v>22</v>
      </c>
      <c r="M50" s="8">
        <v>22.1</v>
      </c>
      <c r="N50" s="10">
        <f t="shared" si="1"/>
        <v>-3.9130434782608581E-2</v>
      </c>
    </row>
    <row r="51" spans="1:14" x14ac:dyDescent="0.2">
      <c r="A51" s="6">
        <v>47</v>
      </c>
      <c r="B51" s="7" t="s">
        <v>169</v>
      </c>
      <c r="C51" s="6" t="s">
        <v>170</v>
      </c>
      <c r="D51" s="8">
        <v>29</v>
      </c>
      <c r="E51" s="8">
        <v>28.9</v>
      </c>
      <c r="F51" s="8">
        <v>28.4</v>
      </c>
      <c r="G51" s="8">
        <v>26.9</v>
      </c>
      <c r="H51" s="8">
        <v>26.4</v>
      </c>
      <c r="I51" s="8">
        <v>25.3</v>
      </c>
      <c r="J51" s="8">
        <v>23</v>
      </c>
      <c r="K51" s="8">
        <v>22.1</v>
      </c>
      <c r="L51" s="8">
        <v>22</v>
      </c>
      <c r="M51" s="8">
        <v>21.6</v>
      </c>
      <c r="N51" s="10">
        <f t="shared" si="1"/>
        <v>-0.2551724137931034</v>
      </c>
    </row>
    <row r="52" spans="1:14" ht="30" x14ac:dyDescent="0.2">
      <c r="A52" s="6">
        <v>48</v>
      </c>
      <c r="B52" s="7" t="s">
        <v>172</v>
      </c>
      <c r="C52" s="6" t="s">
        <v>173</v>
      </c>
      <c r="D52" s="8">
        <v>7.66</v>
      </c>
      <c r="E52" s="8">
        <v>7.75</v>
      </c>
      <c r="F52" s="8">
        <v>7.75</v>
      </c>
      <c r="G52" s="8">
        <v>7.83</v>
      </c>
      <c r="H52" s="8">
        <v>7.94</v>
      </c>
      <c r="I52" s="8">
        <v>8.06</v>
      </c>
      <c r="J52" s="8">
        <v>8.3699999999999992</v>
      </c>
      <c r="K52" s="8">
        <v>8.77</v>
      </c>
      <c r="L52" s="8">
        <v>8.7899999999999991</v>
      </c>
      <c r="M52" s="8">
        <v>8.6999999999999993</v>
      </c>
      <c r="N52" s="10">
        <f t="shared" si="1"/>
        <v>0.13577023498694496</v>
      </c>
    </row>
    <row r="53" spans="1:14" x14ac:dyDescent="0.2">
      <c r="A53" s="6">
        <v>49</v>
      </c>
      <c r="B53" s="7" t="s">
        <v>175</v>
      </c>
      <c r="C53" s="6" t="s">
        <v>176</v>
      </c>
      <c r="D53" s="8">
        <v>46.2</v>
      </c>
      <c r="E53" s="8">
        <v>57.9</v>
      </c>
      <c r="F53" s="8">
        <v>58.2</v>
      </c>
      <c r="G53" s="8">
        <v>56.2</v>
      </c>
      <c r="H53" s="8">
        <v>52.6</v>
      </c>
      <c r="I53" s="8">
        <v>51.7</v>
      </c>
      <c r="J53" s="8">
        <v>50.7</v>
      </c>
      <c r="K53" s="8">
        <v>52.7</v>
      </c>
      <c r="L53" s="8">
        <v>47</v>
      </c>
      <c r="M53" s="8">
        <v>46.2</v>
      </c>
      <c r="N53" s="10">
        <f t="shared" si="1"/>
        <v>0</v>
      </c>
    </row>
    <row r="54" spans="1:14" ht="30" x14ac:dyDescent="0.2">
      <c r="A54" s="6">
        <v>50</v>
      </c>
      <c r="B54" s="7" t="s">
        <v>178</v>
      </c>
      <c r="C54" s="6" t="s">
        <v>179</v>
      </c>
      <c r="D54" s="8">
        <v>30</v>
      </c>
      <c r="E54" s="8">
        <v>29.6</v>
      </c>
      <c r="F54" s="8">
        <v>31.4</v>
      </c>
      <c r="G54" s="8">
        <v>32.799999999999997</v>
      </c>
      <c r="H54" s="8">
        <v>32.299999999999997</v>
      </c>
      <c r="I54" s="8">
        <v>33.9</v>
      </c>
      <c r="J54" s="8">
        <v>34</v>
      </c>
      <c r="K54" s="8">
        <v>33</v>
      </c>
      <c r="L54" s="8">
        <v>33.1</v>
      </c>
      <c r="M54" s="8">
        <v>32.299999999999997</v>
      </c>
      <c r="N54" s="10">
        <f t="shared" si="1"/>
        <v>7.6666666666666661E-2</v>
      </c>
    </row>
    <row r="55" spans="1:14" ht="30" x14ac:dyDescent="0.2">
      <c r="A55" s="6">
        <v>51</v>
      </c>
      <c r="B55" s="7" t="s">
        <v>181</v>
      </c>
      <c r="C55" s="6" t="s">
        <v>182</v>
      </c>
      <c r="D55" s="8">
        <v>28.4</v>
      </c>
      <c r="E55" s="8">
        <v>28.4</v>
      </c>
      <c r="F55" s="8">
        <v>28.4</v>
      </c>
      <c r="G55" s="8">
        <v>28.1</v>
      </c>
      <c r="H55" s="8">
        <v>27</v>
      </c>
      <c r="I55" s="8">
        <v>26.9</v>
      </c>
      <c r="J55" s="8">
        <v>26.5</v>
      </c>
      <c r="K55" s="8">
        <v>26.3</v>
      </c>
      <c r="L55" s="8">
        <v>26.3</v>
      </c>
      <c r="M55" s="8">
        <v>26.3</v>
      </c>
      <c r="N55" s="10">
        <f t="shared" si="1"/>
        <v>-7.3943661971830887E-2</v>
      </c>
    </row>
    <row r="56" spans="1:14" ht="30" x14ac:dyDescent="0.2">
      <c r="A56" s="6">
        <v>52</v>
      </c>
      <c r="B56" s="7" t="s">
        <v>184</v>
      </c>
      <c r="C56" s="6" t="s">
        <v>185</v>
      </c>
      <c r="D56" s="8">
        <v>5.99</v>
      </c>
      <c r="E56" s="8">
        <v>6.21</v>
      </c>
      <c r="F56" s="8">
        <v>6.25</v>
      </c>
      <c r="G56" s="8">
        <v>6.26</v>
      </c>
      <c r="H56" s="8">
        <v>6.22</v>
      </c>
      <c r="I56" s="8">
        <v>6.19</v>
      </c>
      <c r="J56" s="8">
        <v>6.04</v>
      </c>
      <c r="K56" s="8">
        <v>5.55</v>
      </c>
      <c r="L56" s="8">
        <v>5.33</v>
      </c>
      <c r="M56" s="8">
        <v>5.17</v>
      </c>
      <c r="N56" s="10">
        <f t="shared" si="1"/>
        <v>-0.13689482470784642</v>
      </c>
    </row>
    <row r="57" spans="1:14" x14ac:dyDescent="0.2">
      <c r="A57" s="6">
        <v>53</v>
      </c>
      <c r="B57" s="7" t="s">
        <v>187</v>
      </c>
      <c r="C57" s="6" t="s">
        <v>188</v>
      </c>
      <c r="D57" s="8">
        <v>37.9</v>
      </c>
      <c r="E57" s="8">
        <v>34.799999999999997</v>
      </c>
      <c r="F57" s="8">
        <v>34.5</v>
      </c>
      <c r="G57" s="8">
        <v>34.1</v>
      </c>
      <c r="H57" s="8">
        <v>33.9</v>
      </c>
      <c r="I57" s="8">
        <v>34</v>
      </c>
      <c r="J57" s="8">
        <v>34.200000000000003</v>
      </c>
      <c r="K57" s="8">
        <v>34.4</v>
      </c>
      <c r="L57" s="8">
        <v>34.700000000000003</v>
      </c>
      <c r="M57" s="8">
        <v>35</v>
      </c>
      <c r="N57" s="10">
        <f t="shared" si="1"/>
        <v>-7.6517150395778333E-2</v>
      </c>
    </row>
    <row r="58" spans="1:14" x14ac:dyDescent="0.2">
      <c r="A58" s="6">
        <v>54</v>
      </c>
      <c r="B58" s="7" t="s">
        <v>190</v>
      </c>
      <c r="C58" s="6" t="s">
        <v>191</v>
      </c>
      <c r="D58" s="8">
        <v>45.3</v>
      </c>
      <c r="E58" s="8">
        <v>46.1</v>
      </c>
      <c r="F58" s="8">
        <v>49</v>
      </c>
      <c r="G58" s="8">
        <v>48.7</v>
      </c>
      <c r="H58" s="8">
        <v>48.6</v>
      </c>
      <c r="I58" s="8">
        <v>48.1</v>
      </c>
      <c r="J58" s="8">
        <v>47.6</v>
      </c>
      <c r="K58" s="8">
        <v>47</v>
      </c>
      <c r="L58" s="8">
        <v>50</v>
      </c>
      <c r="M58" s="8">
        <v>48.6</v>
      </c>
      <c r="N58" s="10">
        <f t="shared" si="1"/>
        <v>7.2847682119205448E-2</v>
      </c>
    </row>
    <row r="59" spans="1:14" x14ac:dyDescent="0.2">
      <c r="A59" s="6">
        <v>55</v>
      </c>
      <c r="B59" s="7" t="s">
        <v>193</v>
      </c>
      <c r="C59" s="6" t="s">
        <v>194</v>
      </c>
      <c r="D59" s="8">
        <v>27.3</v>
      </c>
      <c r="E59" s="8">
        <v>31.7</v>
      </c>
      <c r="F59" s="8">
        <v>31.8</v>
      </c>
      <c r="G59" s="8">
        <v>31.8</v>
      </c>
      <c r="H59" s="8">
        <v>33.799999999999997</v>
      </c>
      <c r="I59" s="8">
        <v>34.200000000000003</v>
      </c>
      <c r="J59" s="8">
        <v>33.299999999999997</v>
      </c>
      <c r="K59" s="8">
        <v>35.200000000000003</v>
      </c>
      <c r="L59" s="8">
        <v>29</v>
      </c>
      <c r="M59" s="8">
        <v>28.2</v>
      </c>
      <c r="N59" s="10">
        <f t="shared" si="1"/>
        <v>3.296703296703285E-2</v>
      </c>
    </row>
    <row r="60" spans="1:14" x14ac:dyDescent="0.2">
      <c r="A60" s="6">
        <v>56</v>
      </c>
      <c r="B60" s="7" t="s">
        <v>196</v>
      </c>
      <c r="C60" s="6" t="s">
        <v>197</v>
      </c>
      <c r="D60" s="8">
        <v>42.6</v>
      </c>
      <c r="E60" s="8">
        <v>44.2</v>
      </c>
      <c r="F60" s="8">
        <v>44.2</v>
      </c>
      <c r="G60" s="8">
        <v>44.1</v>
      </c>
      <c r="H60" s="8">
        <v>43.7</v>
      </c>
      <c r="I60" s="8">
        <v>43.1</v>
      </c>
      <c r="J60" s="8">
        <v>43.2</v>
      </c>
      <c r="K60" s="8">
        <v>43.4</v>
      </c>
      <c r="L60" s="8">
        <v>43.4</v>
      </c>
      <c r="M60" s="8">
        <v>43.7</v>
      </c>
      <c r="N60" s="10">
        <f t="shared" si="1"/>
        <v>2.5821596244131495E-2</v>
      </c>
    </row>
    <row r="61" spans="1:14" x14ac:dyDescent="0.2">
      <c r="A61" s="6">
        <v>57</v>
      </c>
      <c r="B61" s="7" t="s">
        <v>199</v>
      </c>
      <c r="C61" s="6" t="s">
        <v>200</v>
      </c>
      <c r="D61" s="8">
        <v>39</v>
      </c>
      <c r="E61" s="8">
        <v>39.1</v>
      </c>
      <c r="F61" s="8">
        <v>38.6</v>
      </c>
      <c r="G61" s="8">
        <v>37.4</v>
      </c>
      <c r="H61" s="8">
        <v>35.799999999999997</v>
      </c>
      <c r="I61" s="8">
        <v>36.4</v>
      </c>
      <c r="J61" s="8">
        <v>36.6</v>
      </c>
      <c r="K61" s="8">
        <v>34.4</v>
      </c>
      <c r="L61" s="8">
        <v>30</v>
      </c>
      <c r="M61" s="8">
        <v>29.4</v>
      </c>
      <c r="N61" s="10">
        <f t="shared" si="1"/>
        <v>-0.24615384615384617</v>
      </c>
    </row>
    <row r="62" spans="1:14" ht="30" x14ac:dyDescent="0.2">
      <c r="A62" s="6">
        <v>58</v>
      </c>
      <c r="B62" s="7" t="s">
        <v>202</v>
      </c>
      <c r="C62" s="6" t="s">
        <v>203</v>
      </c>
      <c r="D62" s="8">
        <v>16.399999999999999</v>
      </c>
      <c r="E62" s="8">
        <v>16.5</v>
      </c>
      <c r="F62" s="8">
        <v>16.5</v>
      </c>
      <c r="G62" s="8">
        <v>16.8</v>
      </c>
      <c r="H62" s="8">
        <v>17.600000000000001</v>
      </c>
      <c r="I62" s="8">
        <v>17.600000000000001</v>
      </c>
      <c r="J62" s="8">
        <v>17.7</v>
      </c>
      <c r="K62" s="8">
        <v>17.8</v>
      </c>
      <c r="L62" s="8">
        <v>17.899999999999999</v>
      </c>
      <c r="M62" s="8">
        <v>18.100000000000001</v>
      </c>
      <c r="N62" s="10">
        <f t="shared" si="1"/>
        <v>0.10365853658536595</v>
      </c>
    </row>
    <row r="63" spans="1:14" x14ac:dyDescent="0.2">
      <c r="A63" s="6">
        <v>59</v>
      </c>
      <c r="B63" s="7" t="s">
        <v>205</v>
      </c>
      <c r="C63" s="6" t="s">
        <v>206</v>
      </c>
      <c r="D63" s="8">
        <v>115.9</v>
      </c>
      <c r="E63" s="8">
        <v>115.9</v>
      </c>
      <c r="F63" s="8">
        <v>115.9</v>
      </c>
      <c r="G63" s="8">
        <v>115.8</v>
      </c>
      <c r="H63" s="8">
        <v>115.6</v>
      </c>
      <c r="I63" s="8">
        <v>115.5</v>
      </c>
      <c r="J63" s="8">
        <v>115.5</v>
      </c>
      <c r="K63" s="8">
        <v>115.1</v>
      </c>
      <c r="L63" s="8">
        <v>115</v>
      </c>
      <c r="M63" s="8">
        <v>115</v>
      </c>
      <c r="N63" s="10">
        <f t="shared" si="1"/>
        <v>-7.7653149266609933E-3</v>
      </c>
    </row>
    <row r="64" spans="1:14" x14ac:dyDescent="0.2">
      <c r="A64" s="6">
        <v>60</v>
      </c>
      <c r="B64" s="7" t="s">
        <v>208</v>
      </c>
      <c r="C64" s="6" t="s">
        <v>209</v>
      </c>
      <c r="D64" s="8">
        <v>10.8</v>
      </c>
      <c r="E64" s="8">
        <v>10.9</v>
      </c>
      <c r="F64" s="8">
        <v>10.9</v>
      </c>
      <c r="G64" s="8">
        <v>11</v>
      </c>
      <c r="H64" s="8">
        <v>11.2</v>
      </c>
      <c r="I64" s="8">
        <v>11.6</v>
      </c>
      <c r="J64" s="8">
        <v>11.4</v>
      </c>
      <c r="K64" s="8">
        <v>11.4</v>
      </c>
      <c r="L64" s="8">
        <v>11.4</v>
      </c>
      <c r="M64" s="8">
        <v>11.4</v>
      </c>
      <c r="N64" s="10">
        <f t="shared" si="1"/>
        <v>5.555555555555558E-2</v>
      </c>
    </row>
    <row r="65" spans="1:14" x14ac:dyDescent="0.2">
      <c r="A65" s="6">
        <v>61</v>
      </c>
      <c r="B65" s="7" t="s">
        <v>211</v>
      </c>
      <c r="C65" s="6" t="s">
        <v>212</v>
      </c>
      <c r="D65" s="8">
        <v>27.7</v>
      </c>
      <c r="E65" s="8">
        <v>27.7</v>
      </c>
      <c r="F65" s="8">
        <v>27.5</v>
      </c>
      <c r="G65" s="8">
        <v>27.9</v>
      </c>
      <c r="H65" s="8">
        <v>27.7</v>
      </c>
      <c r="I65" s="8">
        <v>28.4</v>
      </c>
      <c r="J65" s="8">
        <v>28.3</v>
      </c>
      <c r="K65" s="8">
        <v>28.6</v>
      </c>
      <c r="L65" s="8">
        <v>27.6</v>
      </c>
      <c r="M65" s="8">
        <v>27.5</v>
      </c>
      <c r="N65" s="10">
        <f t="shared" si="1"/>
        <v>-7.2202166064981865E-3</v>
      </c>
    </row>
    <row r="66" spans="1:14" x14ac:dyDescent="0.2">
      <c r="A66" s="6">
        <v>62</v>
      </c>
      <c r="B66" s="7" t="s">
        <v>214</v>
      </c>
      <c r="C66" s="6" t="s">
        <v>215</v>
      </c>
      <c r="D66" s="8">
        <v>24.9</v>
      </c>
      <c r="E66" s="8">
        <v>24.1</v>
      </c>
      <c r="F66" s="8">
        <v>23.2</v>
      </c>
      <c r="G66" s="8">
        <v>22.5</v>
      </c>
      <c r="H66" s="8">
        <v>22.3</v>
      </c>
      <c r="I66" s="8">
        <v>22.8</v>
      </c>
      <c r="J66" s="8">
        <v>22.3</v>
      </c>
      <c r="K66" s="8">
        <v>22.6</v>
      </c>
      <c r="L66" s="8">
        <v>23.2</v>
      </c>
      <c r="M66" s="8">
        <v>21.9</v>
      </c>
      <c r="N66" s="10">
        <f t="shared" si="1"/>
        <v>-0.12048192771084343</v>
      </c>
    </row>
    <row r="67" spans="1:14" x14ac:dyDescent="0.2">
      <c r="A67" s="6">
        <v>63</v>
      </c>
      <c r="B67" s="7" t="s">
        <v>217</v>
      </c>
      <c r="C67" s="6" t="s">
        <v>218</v>
      </c>
      <c r="D67" s="8">
        <v>14.7</v>
      </c>
      <c r="E67" s="8">
        <v>14.1</v>
      </c>
      <c r="F67" s="8">
        <v>13.1</v>
      </c>
      <c r="G67" s="8">
        <v>11.7</v>
      </c>
      <c r="H67" s="8">
        <v>10.3</v>
      </c>
      <c r="I67" s="8">
        <v>9.01</v>
      </c>
      <c r="J67" s="8">
        <v>8.2200000000000006</v>
      </c>
      <c r="K67" s="8">
        <v>8.2200000000000006</v>
      </c>
      <c r="L67" s="8">
        <v>8.32</v>
      </c>
      <c r="M67" s="8">
        <v>8.3000000000000007</v>
      </c>
      <c r="N67" s="10">
        <f t="shared" si="1"/>
        <v>-0.43537414965986387</v>
      </c>
    </row>
    <row r="68" spans="1:14" x14ac:dyDescent="0.2">
      <c r="A68" s="6">
        <v>64</v>
      </c>
      <c r="B68" s="7" t="s">
        <v>220</v>
      </c>
      <c r="C68" s="6" t="s">
        <v>221</v>
      </c>
      <c r="D68" s="8">
        <v>47.4</v>
      </c>
      <c r="E68" s="8">
        <v>49.8</v>
      </c>
      <c r="F68" s="8">
        <v>50.3</v>
      </c>
      <c r="G68" s="8">
        <v>48.9</v>
      </c>
      <c r="H68" s="8">
        <v>48.8</v>
      </c>
      <c r="I68" s="8">
        <v>49.5</v>
      </c>
      <c r="J68" s="8">
        <v>47.7</v>
      </c>
      <c r="K68" s="8">
        <v>47</v>
      </c>
      <c r="L68" s="8">
        <v>46.1</v>
      </c>
      <c r="M68" s="8">
        <v>44.5</v>
      </c>
      <c r="N68" s="10">
        <f t="shared" si="1"/>
        <v>-6.1181434599156037E-2</v>
      </c>
    </row>
    <row r="69" spans="1:14" ht="30" x14ac:dyDescent="0.2">
      <c r="A69" s="6">
        <v>65</v>
      </c>
      <c r="B69" s="7" t="s">
        <v>223</v>
      </c>
      <c r="C69" s="6" t="s">
        <v>224</v>
      </c>
      <c r="D69" s="8">
        <v>10.199999999999999</v>
      </c>
      <c r="E69" s="8">
        <v>9.8800000000000008</v>
      </c>
      <c r="F69" s="8">
        <v>9.7200000000000006</v>
      </c>
      <c r="G69" s="8">
        <v>9.68</v>
      </c>
      <c r="H69" s="8">
        <v>9.32</v>
      </c>
      <c r="I69" s="8">
        <v>9.0399999999999991</v>
      </c>
      <c r="J69" s="8">
        <v>9.32</v>
      </c>
      <c r="K69" s="8">
        <v>9.2899999999999991</v>
      </c>
      <c r="L69" s="8">
        <v>9.35</v>
      </c>
      <c r="M69" s="8">
        <v>8.9</v>
      </c>
      <c r="N69" s="10">
        <f t="shared" ref="N69:N100" si="2">IF(D69=0,"N/A",(M69/D69)-1)</f>
        <v>-0.12745098039215674</v>
      </c>
    </row>
    <row r="70" spans="1:14" x14ac:dyDescent="0.2">
      <c r="A70" s="6">
        <v>66</v>
      </c>
      <c r="B70" s="7" t="s">
        <v>226</v>
      </c>
      <c r="C70" s="6" t="s">
        <v>227</v>
      </c>
      <c r="D70" s="8">
        <v>41.5</v>
      </c>
      <c r="E70" s="8">
        <v>43.1</v>
      </c>
      <c r="F70" s="8">
        <v>51.4</v>
      </c>
      <c r="G70" s="8">
        <v>51.8</v>
      </c>
      <c r="H70" s="8">
        <v>49.8</v>
      </c>
      <c r="I70" s="8">
        <v>50.3</v>
      </c>
      <c r="J70" s="8">
        <v>50.3</v>
      </c>
      <c r="K70" s="8">
        <v>50.6</v>
      </c>
      <c r="L70" s="8">
        <v>50.7</v>
      </c>
      <c r="M70" s="8">
        <v>46.5</v>
      </c>
      <c r="N70" s="10">
        <f t="shared" si="2"/>
        <v>0.12048192771084332</v>
      </c>
    </row>
    <row r="71" spans="1:14" x14ac:dyDescent="0.2">
      <c r="A71" s="6">
        <v>67</v>
      </c>
      <c r="B71" s="7" t="s">
        <v>229</v>
      </c>
      <c r="C71" s="6" t="s">
        <v>230</v>
      </c>
      <c r="D71" s="8">
        <v>22.4</v>
      </c>
      <c r="E71" s="8">
        <v>22.5</v>
      </c>
      <c r="F71" s="8">
        <v>22.4</v>
      </c>
      <c r="G71" s="8">
        <v>22.4</v>
      </c>
      <c r="H71" s="8">
        <v>22.5</v>
      </c>
      <c r="I71" s="8">
        <v>23</v>
      </c>
      <c r="J71" s="8">
        <v>23.2</v>
      </c>
      <c r="K71" s="8">
        <v>24.3</v>
      </c>
      <c r="L71" s="8">
        <v>24.3</v>
      </c>
      <c r="M71" s="8">
        <v>24.3</v>
      </c>
      <c r="N71" s="10">
        <f t="shared" si="2"/>
        <v>8.4821428571428603E-2</v>
      </c>
    </row>
    <row r="72" spans="1:14" ht="30" x14ac:dyDescent="0.2">
      <c r="A72" s="6">
        <v>68</v>
      </c>
      <c r="B72" s="7" t="s">
        <v>232</v>
      </c>
      <c r="C72" s="6" t="s">
        <v>233</v>
      </c>
      <c r="D72" s="8">
        <v>16.399999999999999</v>
      </c>
      <c r="E72" s="8">
        <v>16.399999999999999</v>
      </c>
      <c r="F72" s="8">
        <v>17.5</v>
      </c>
      <c r="G72" s="8">
        <v>16.899999999999999</v>
      </c>
      <c r="H72" s="8">
        <v>17</v>
      </c>
      <c r="I72" s="8">
        <v>16.7</v>
      </c>
      <c r="J72" s="8">
        <v>16.600000000000001</v>
      </c>
      <c r="K72" s="8">
        <v>16.5</v>
      </c>
      <c r="L72" s="8">
        <v>15.5</v>
      </c>
      <c r="M72" s="8">
        <v>14.6</v>
      </c>
      <c r="N72" s="10">
        <f t="shared" si="2"/>
        <v>-0.1097560975609756</v>
      </c>
    </row>
    <row r="73" spans="1:14" x14ac:dyDescent="0.2">
      <c r="A73" s="6">
        <v>69</v>
      </c>
      <c r="B73" s="7" t="s">
        <v>235</v>
      </c>
      <c r="C73" s="6" t="s">
        <v>236</v>
      </c>
      <c r="D73" s="8">
        <v>84.4</v>
      </c>
      <c r="E73" s="8">
        <v>85.3</v>
      </c>
      <c r="F73" s="8">
        <v>85.7</v>
      </c>
      <c r="G73" s="8">
        <v>85.7</v>
      </c>
      <c r="H73" s="8">
        <v>84</v>
      </c>
      <c r="I73" s="8">
        <v>82.9</v>
      </c>
      <c r="J73" s="8">
        <v>82.6</v>
      </c>
      <c r="K73" s="8">
        <v>80.900000000000006</v>
      </c>
      <c r="L73" s="8">
        <v>79.8</v>
      </c>
      <c r="M73" s="8">
        <v>78.599999999999994</v>
      </c>
      <c r="N73" s="10">
        <f t="shared" si="2"/>
        <v>-6.872037914691953E-2</v>
      </c>
    </row>
    <row r="74" spans="1:14" x14ac:dyDescent="0.2">
      <c r="A74" s="6">
        <v>70</v>
      </c>
      <c r="B74" s="7" t="s">
        <v>238</v>
      </c>
      <c r="C74" s="6" t="s">
        <v>239</v>
      </c>
      <c r="D74" s="8">
        <v>9.85</v>
      </c>
      <c r="E74" s="8">
        <v>9.94</v>
      </c>
      <c r="F74" s="8">
        <v>10</v>
      </c>
      <c r="G74" s="8">
        <v>10</v>
      </c>
      <c r="H74" s="8">
        <v>10.1</v>
      </c>
      <c r="I74" s="8">
        <v>10.1</v>
      </c>
      <c r="J74" s="8">
        <v>10.199999999999999</v>
      </c>
      <c r="K74" s="8">
        <v>10.199999999999999</v>
      </c>
      <c r="L74" s="8">
        <v>10.199999999999999</v>
      </c>
      <c r="M74" s="8">
        <v>10.3</v>
      </c>
      <c r="N74" s="10">
        <f t="shared" si="2"/>
        <v>4.5685279187817285E-2</v>
      </c>
    </row>
    <row r="75" spans="1:14" x14ac:dyDescent="0.2">
      <c r="A75" s="6">
        <v>71</v>
      </c>
      <c r="B75" s="7" t="s">
        <v>241</v>
      </c>
      <c r="C75" s="6" t="s">
        <v>242</v>
      </c>
      <c r="D75" s="8">
        <v>14.3</v>
      </c>
      <c r="E75" s="8">
        <v>14.4</v>
      </c>
      <c r="F75" s="8">
        <v>14.5</v>
      </c>
      <c r="G75" s="8">
        <v>14.4</v>
      </c>
      <c r="H75" s="8">
        <v>14.2</v>
      </c>
      <c r="I75" s="8">
        <v>13.9</v>
      </c>
      <c r="J75" s="8">
        <v>13.7</v>
      </c>
      <c r="K75" s="8">
        <v>13.9</v>
      </c>
      <c r="L75" s="8">
        <v>14</v>
      </c>
      <c r="M75" s="8">
        <v>13.9</v>
      </c>
      <c r="N75" s="10">
        <f t="shared" si="2"/>
        <v>-2.7972027972028024E-2</v>
      </c>
    </row>
    <row r="76" spans="1:14" x14ac:dyDescent="0.2">
      <c r="A76" s="6">
        <v>72</v>
      </c>
      <c r="B76" s="7" t="s">
        <v>244</v>
      </c>
      <c r="C76" s="6" t="s">
        <v>245</v>
      </c>
      <c r="D76" s="8">
        <v>30.5</v>
      </c>
      <c r="E76" s="8">
        <v>31.1</v>
      </c>
      <c r="F76" s="8">
        <v>31</v>
      </c>
      <c r="G76" s="8">
        <v>28.9</v>
      </c>
      <c r="H76" s="8">
        <v>28.2</v>
      </c>
      <c r="I76" s="8">
        <v>29</v>
      </c>
      <c r="J76" s="8">
        <v>29</v>
      </c>
      <c r="K76" s="8">
        <v>28</v>
      </c>
      <c r="L76" s="8">
        <v>27.3</v>
      </c>
      <c r="M76" s="8">
        <v>27.3</v>
      </c>
      <c r="N76" s="10">
        <f t="shared" si="2"/>
        <v>-0.10491803278688527</v>
      </c>
    </row>
    <row r="77" spans="1:14" x14ac:dyDescent="0.2">
      <c r="A77" s="6">
        <v>73</v>
      </c>
      <c r="B77" s="7" t="s">
        <v>247</v>
      </c>
      <c r="C77" s="6" t="s">
        <v>248</v>
      </c>
      <c r="D77" s="8">
        <v>23.6</v>
      </c>
      <c r="E77" s="8">
        <v>23.8</v>
      </c>
      <c r="F77" s="8">
        <v>25.7</v>
      </c>
      <c r="G77" s="8">
        <v>25.9</v>
      </c>
      <c r="H77" s="8">
        <v>26</v>
      </c>
      <c r="I77" s="8">
        <v>27.1</v>
      </c>
      <c r="J77" s="8">
        <v>27.2</v>
      </c>
      <c r="K77" s="8">
        <v>27.4</v>
      </c>
      <c r="L77" s="8">
        <v>27.4</v>
      </c>
      <c r="M77" s="8">
        <v>27.5</v>
      </c>
      <c r="N77" s="10">
        <f t="shared" si="2"/>
        <v>0.1652542372881356</v>
      </c>
    </row>
    <row r="78" spans="1:14" x14ac:dyDescent="0.2">
      <c r="A78" s="6">
        <v>74</v>
      </c>
      <c r="B78" s="7" t="s">
        <v>250</v>
      </c>
      <c r="C78" s="6" t="s">
        <v>251</v>
      </c>
      <c r="D78" s="8">
        <v>10.1</v>
      </c>
      <c r="E78" s="8">
        <v>10.1</v>
      </c>
      <c r="F78" s="8">
        <v>10.1</v>
      </c>
      <c r="G78" s="8">
        <v>10.1</v>
      </c>
      <c r="H78" s="8">
        <v>10.1</v>
      </c>
      <c r="I78" s="8">
        <v>10.1</v>
      </c>
      <c r="J78" s="8">
        <v>10.1</v>
      </c>
      <c r="K78" s="8">
        <v>10.1</v>
      </c>
      <c r="L78" s="8">
        <v>10.1</v>
      </c>
      <c r="M78" s="8">
        <v>10.1</v>
      </c>
      <c r="N78" s="10">
        <f t="shared" si="2"/>
        <v>0</v>
      </c>
    </row>
    <row r="79" spans="1:14" x14ac:dyDescent="0.2">
      <c r="A79" s="6">
        <v>75</v>
      </c>
      <c r="B79" s="7" t="s">
        <v>253</v>
      </c>
      <c r="C79" s="6" t="s">
        <v>254</v>
      </c>
      <c r="D79" s="8">
        <v>12.4</v>
      </c>
      <c r="E79" s="8">
        <v>12.4</v>
      </c>
      <c r="F79" s="8">
        <v>12.4</v>
      </c>
      <c r="G79" s="8">
        <v>12.4</v>
      </c>
      <c r="H79" s="8">
        <v>12.4</v>
      </c>
      <c r="I79" s="8">
        <v>12.4</v>
      </c>
      <c r="J79" s="8">
        <v>12.3</v>
      </c>
      <c r="K79" s="8">
        <v>12.3</v>
      </c>
      <c r="L79" s="8">
        <v>12.3</v>
      </c>
      <c r="M79" s="8">
        <v>12.3</v>
      </c>
      <c r="N79" s="10">
        <f t="shared" si="2"/>
        <v>-8.0645161290322509E-3</v>
      </c>
    </row>
    <row r="80" spans="1:14" x14ac:dyDescent="0.2">
      <c r="A80" s="6">
        <v>76</v>
      </c>
      <c r="B80" s="7" t="s">
        <v>256</v>
      </c>
      <c r="C80" s="6" t="s">
        <v>257</v>
      </c>
      <c r="D80" s="8">
        <v>15.7</v>
      </c>
      <c r="E80" s="8">
        <v>14.9</v>
      </c>
      <c r="F80" s="8">
        <v>14.6</v>
      </c>
      <c r="G80" s="8">
        <v>14.8</v>
      </c>
      <c r="H80" s="8">
        <v>14.9</v>
      </c>
      <c r="I80" s="8">
        <v>16.100000000000001</v>
      </c>
      <c r="J80" s="8">
        <v>15.3</v>
      </c>
      <c r="K80" s="8">
        <v>14.5</v>
      </c>
      <c r="L80" s="8">
        <v>13.6</v>
      </c>
      <c r="M80" s="8">
        <v>13.1</v>
      </c>
      <c r="N80" s="10">
        <f t="shared" si="2"/>
        <v>-0.16560509554140124</v>
      </c>
    </row>
    <row r="81" spans="1:14" x14ac:dyDescent="0.2">
      <c r="A81" s="6">
        <v>77</v>
      </c>
      <c r="B81" s="7" t="s">
        <v>259</v>
      </c>
      <c r="C81" s="6" t="s">
        <v>260</v>
      </c>
      <c r="D81" s="8">
        <v>31.2</v>
      </c>
      <c r="E81" s="8">
        <v>32.5</v>
      </c>
      <c r="F81" s="8">
        <v>33.6</v>
      </c>
      <c r="G81" s="8">
        <v>34.200000000000003</v>
      </c>
      <c r="H81" s="8">
        <v>34.5</v>
      </c>
      <c r="I81" s="8">
        <v>35.1</v>
      </c>
      <c r="J81" s="8">
        <v>35.1</v>
      </c>
      <c r="K81" s="8">
        <v>33.9</v>
      </c>
      <c r="L81" s="8">
        <v>31.8</v>
      </c>
      <c r="M81" s="8">
        <v>29.9</v>
      </c>
      <c r="N81" s="10">
        <f t="shared" si="2"/>
        <v>-4.1666666666666741E-2</v>
      </c>
    </row>
    <row r="82" spans="1:14" x14ac:dyDescent="0.2">
      <c r="A82" s="6">
        <v>78</v>
      </c>
      <c r="B82" s="7" t="s">
        <v>262</v>
      </c>
      <c r="C82" s="6" t="s">
        <v>263</v>
      </c>
      <c r="D82" s="8">
        <v>20.2</v>
      </c>
      <c r="E82" s="8">
        <v>19.3</v>
      </c>
      <c r="F82" s="8">
        <v>19.5</v>
      </c>
      <c r="G82" s="8">
        <v>15.7</v>
      </c>
      <c r="H82" s="8">
        <v>14.2</v>
      </c>
      <c r="I82" s="8">
        <v>14.5</v>
      </c>
      <c r="J82" s="8">
        <v>12.7</v>
      </c>
      <c r="K82" s="8">
        <v>11.2</v>
      </c>
      <c r="L82" s="8">
        <v>10.8</v>
      </c>
      <c r="M82" s="8">
        <v>10.6</v>
      </c>
      <c r="N82" s="10">
        <f t="shared" si="2"/>
        <v>-0.47524752475247523</v>
      </c>
    </row>
    <row r="83" spans="1:14" ht="30" x14ac:dyDescent="0.2">
      <c r="A83" s="6">
        <v>79</v>
      </c>
      <c r="B83" s="7" t="s">
        <v>265</v>
      </c>
      <c r="C83" s="6" t="s">
        <v>266</v>
      </c>
      <c r="D83" s="8">
        <v>12.1</v>
      </c>
      <c r="E83" s="8">
        <v>11.7</v>
      </c>
      <c r="F83" s="8">
        <v>11.8</v>
      </c>
      <c r="G83" s="8">
        <v>12</v>
      </c>
      <c r="H83" s="8">
        <v>12.3</v>
      </c>
      <c r="I83" s="8">
        <v>12.5</v>
      </c>
      <c r="J83" s="8">
        <v>12.5</v>
      </c>
      <c r="K83" s="8">
        <v>12.5</v>
      </c>
      <c r="L83" s="8">
        <v>12.5</v>
      </c>
      <c r="M83" s="8">
        <v>13.4</v>
      </c>
      <c r="N83" s="10">
        <f t="shared" si="2"/>
        <v>0.10743801652892571</v>
      </c>
    </row>
    <row r="84" spans="1:14" x14ac:dyDescent="0.2">
      <c r="A84" s="6">
        <v>80</v>
      </c>
      <c r="B84" s="7" t="s">
        <v>268</v>
      </c>
      <c r="C84" s="6" t="s">
        <v>269</v>
      </c>
      <c r="D84" s="8">
        <v>33.299999999999997</v>
      </c>
      <c r="E84" s="8">
        <v>33.299999999999997</v>
      </c>
      <c r="F84" s="8">
        <v>33.299999999999997</v>
      </c>
      <c r="G84" s="8">
        <v>33.4</v>
      </c>
      <c r="H84" s="8">
        <v>33.4</v>
      </c>
      <c r="I84" s="8">
        <v>34.799999999999997</v>
      </c>
      <c r="J84" s="8">
        <v>37.299999999999997</v>
      </c>
      <c r="K84" s="8">
        <v>37.299999999999997</v>
      </c>
      <c r="L84" s="8">
        <v>37.299999999999997</v>
      </c>
      <c r="M84" s="8">
        <v>36.6</v>
      </c>
      <c r="N84" s="10">
        <f t="shared" si="2"/>
        <v>9.9099099099099197E-2</v>
      </c>
    </row>
    <row r="85" spans="1:14" x14ac:dyDescent="0.2">
      <c r="A85" s="6">
        <v>81</v>
      </c>
      <c r="B85" s="7" t="s">
        <v>271</v>
      </c>
      <c r="C85" s="6" t="s">
        <v>272</v>
      </c>
      <c r="D85" s="8">
        <v>38.299999999999997</v>
      </c>
      <c r="E85" s="8">
        <v>39.700000000000003</v>
      </c>
      <c r="F85" s="8">
        <v>40.6</v>
      </c>
      <c r="G85" s="8">
        <v>39.299999999999997</v>
      </c>
      <c r="H85" s="8">
        <v>39.5</v>
      </c>
      <c r="I85" s="8">
        <v>39.5</v>
      </c>
      <c r="J85" s="8">
        <v>39.799999999999997</v>
      </c>
      <c r="K85" s="8">
        <v>39.200000000000003</v>
      </c>
      <c r="L85" s="8">
        <v>37.5</v>
      </c>
      <c r="M85" s="8">
        <v>41.4</v>
      </c>
      <c r="N85" s="10">
        <f t="shared" si="2"/>
        <v>8.0939947780678922E-2</v>
      </c>
    </row>
    <row r="86" spans="1:14" ht="30" x14ac:dyDescent="0.2">
      <c r="A86" s="6">
        <v>82</v>
      </c>
      <c r="B86" s="7" t="s">
        <v>274</v>
      </c>
      <c r="C86" s="6" t="s">
        <v>275</v>
      </c>
      <c r="D86" s="8">
        <v>16.2</v>
      </c>
      <c r="E86" s="8">
        <v>16.399999999999999</v>
      </c>
      <c r="F86" s="8">
        <v>16.600000000000001</v>
      </c>
      <c r="G86" s="8">
        <v>16.3</v>
      </c>
      <c r="H86" s="8">
        <v>15</v>
      </c>
      <c r="I86" s="8">
        <v>18.3</v>
      </c>
      <c r="J86" s="8">
        <v>18.899999999999999</v>
      </c>
      <c r="K86" s="8">
        <v>18.100000000000001</v>
      </c>
      <c r="L86" s="8">
        <v>18.100000000000001</v>
      </c>
      <c r="M86" s="8">
        <v>18.7</v>
      </c>
      <c r="N86" s="10">
        <f t="shared" si="2"/>
        <v>0.15432098765432101</v>
      </c>
    </row>
    <row r="87" spans="1:14" x14ac:dyDescent="0.2">
      <c r="A87" s="6">
        <v>83</v>
      </c>
      <c r="B87" s="7" t="s">
        <v>277</v>
      </c>
      <c r="C87" s="6" t="s">
        <v>278</v>
      </c>
      <c r="D87" s="8">
        <v>11.4</v>
      </c>
      <c r="E87" s="8">
        <v>11.4</v>
      </c>
      <c r="F87" s="8">
        <v>11.4</v>
      </c>
      <c r="G87" s="8">
        <v>11.4</v>
      </c>
      <c r="H87" s="8">
        <v>11.4</v>
      </c>
      <c r="I87" s="8">
        <v>11.4</v>
      </c>
      <c r="J87" s="8">
        <v>11.4</v>
      </c>
      <c r="K87" s="8">
        <v>11.5</v>
      </c>
      <c r="L87" s="8">
        <v>11.6</v>
      </c>
      <c r="M87" s="8">
        <v>11.6</v>
      </c>
      <c r="N87" s="10">
        <f t="shared" si="2"/>
        <v>1.754385964912264E-2</v>
      </c>
    </row>
    <row r="88" spans="1:14" x14ac:dyDescent="0.2">
      <c r="A88" s="6">
        <v>84</v>
      </c>
      <c r="B88" s="7" t="s">
        <v>280</v>
      </c>
      <c r="C88" s="6" t="s">
        <v>281</v>
      </c>
      <c r="D88" s="8">
        <v>49.3</v>
      </c>
      <c r="E88" s="8">
        <v>49.4</v>
      </c>
      <c r="F88" s="8">
        <v>48.7</v>
      </c>
      <c r="G88" s="8">
        <v>47.6</v>
      </c>
      <c r="H88" s="8">
        <v>47.7</v>
      </c>
      <c r="I88" s="8">
        <v>48</v>
      </c>
      <c r="J88" s="8">
        <v>44.9</v>
      </c>
      <c r="K88" s="8">
        <v>39.299999999999997</v>
      </c>
      <c r="L88" s="8">
        <v>38.200000000000003</v>
      </c>
      <c r="M88" s="8">
        <v>38.5</v>
      </c>
      <c r="N88" s="10">
        <f t="shared" si="2"/>
        <v>-0.2190669371196754</v>
      </c>
    </row>
    <row r="89" spans="1:14" x14ac:dyDescent="0.2">
      <c r="A89" s="6">
        <v>85</v>
      </c>
      <c r="B89" s="7" t="s">
        <v>283</v>
      </c>
      <c r="C89" s="6" t="s">
        <v>284</v>
      </c>
      <c r="D89" s="8">
        <v>63.1</v>
      </c>
      <c r="E89" s="8">
        <v>64.3</v>
      </c>
      <c r="F89" s="8">
        <v>64.3</v>
      </c>
      <c r="G89" s="8">
        <v>67.3</v>
      </c>
      <c r="H89" s="8">
        <v>73.2</v>
      </c>
      <c r="I89" s="8">
        <v>75</v>
      </c>
      <c r="J89" s="8">
        <v>76.3</v>
      </c>
      <c r="K89" s="8">
        <v>72.2</v>
      </c>
      <c r="L89" s="8">
        <v>68.099999999999994</v>
      </c>
      <c r="M89" s="8">
        <v>65.900000000000006</v>
      </c>
      <c r="N89" s="10">
        <f t="shared" si="2"/>
        <v>4.4374009508716394E-2</v>
      </c>
    </row>
    <row r="90" spans="1:14" x14ac:dyDescent="0.2">
      <c r="A90" s="6">
        <v>86</v>
      </c>
      <c r="B90" s="7" t="s">
        <v>286</v>
      </c>
      <c r="C90" s="6" t="s">
        <v>287</v>
      </c>
      <c r="D90" s="8"/>
      <c r="E90" s="8"/>
      <c r="F90" s="8"/>
      <c r="G90" s="8">
        <v>1.79</v>
      </c>
      <c r="H90" s="8">
        <v>1.79</v>
      </c>
      <c r="I90" s="8">
        <v>1.79</v>
      </c>
      <c r="J90" s="8">
        <v>1.79</v>
      </c>
      <c r="K90" s="8">
        <v>1.8</v>
      </c>
      <c r="L90" s="8">
        <v>1.8</v>
      </c>
      <c r="M90" s="8">
        <v>1.81</v>
      </c>
      <c r="N90" s="10" t="str">
        <f t="shared" si="2"/>
        <v>N/A</v>
      </c>
    </row>
    <row r="91" spans="1:14" x14ac:dyDescent="0.2">
      <c r="A91" s="6">
        <v>87</v>
      </c>
      <c r="B91" s="7" t="s">
        <v>289</v>
      </c>
      <c r="C91" s="6" t="s">
        <v>290</v>
      </c>
      <c r="D91" s="8">
        <v>21.2</v>
      </c>
      <c r="E91" s="8">
        <v>21.5</v>
      </c>
      <c r="F91" s="8">
        <v>21.8</v>
      </c>
      <c r="G91" s="8">
        <v>21.9</v>
      </c>
      <c r="H91" s="8">
        <v>22.1</v>
      </c>
      <c r="I91" s="8">
        <v>22.2</v>
      </c>
      <c r="J91" s="8">
        <v>22.3</v>
      </c>
      <c r="K91" s="8">
        <v>22.5</v>
      </c>
      <c r="L91" s="8">
        <v>22.6</v>
      </c>
      <c r="M91" s="8">
        <v>22.7</v>
      </c>
      <c r="N91" s="10">
        <f t="shared" si="2"/>
        <v>7.0754716981132004E-2</v>
      </c>
    </row>
    <row r="92" spans="1:14" x14ac:dyDescent="0.2">
      <c r="A92" s="6">
        <v>88</v>
      </c>
      <c r="B92" s="7" t="s">
        <v>292</v>
      </c>
      <c r="C92" s="6" t="s">
        <v>293</v>
      </c>
      <c r="D92" s="8">
        <v>27.1</v>
      </c>
      <c r="E92" s="8">
        <v>27.2</v>
      </c>
      <c r="F92" s="8">
        <v>28.6</v>
      </c>
      <c r="G92" s="8">
        <v>31.4</v>
      </c>
      <c r="H92" s="8">
        <v>32.299999999999997</v>
      </c>
      <c r="I92" s="8">
        <v>32</v>
      </c>
      <c r="J92" s="8">
        <v>31.9</v>
      </c>
      <c r="K92" s="8">
        <v>32.799999999999997</v>
      </c>
      <c r="L92" s="8">
        <v>30.1</v>
      </c>
      <c r="M92" s="8">
        <v>28</v>
      </c>
      <c r="N92" s="10">
        <f t="shared" si="2"/>
        <v>3.3210332103321027E-2</v>
      </c>
    </row>
    <row r="93" spans="1:14" x14ac:dyDescent="0.2">
      <c r="A93" s="6">
        <v>89</v>
      </c>
      <c r="B93" s="7" t="s">
        <v>295</v>
      </c>
      <c r="C93" s="6" t="s">
        <v>296</v>
      </c>
      <c r="D93" s="8">
        <v>22.5</v>
      </c>
      <c r="E93" s="8">
        <v>22.6</v>
      </c>
      <c r="F93" s="8">
        <v>22.7</v>
      </c>
      <c r="G93" s="8">
        <v>22.8</v>
      </c>
      <c r="H93" s="8">
        <v>22.8</v>
      </c>
      <c r="I93" s="8">
        <v>23</v>
      </c>
      <c r="J93" s="8">
        <v>22.9</v>
      </c>
      <c r="K93" s="8">
        <v>23</v>
      </c>
      <c r="L93" s="8">
        <v>23.5</v>
      </c>
      <c r="M93" s="8">
        <v>23.6</v>
      </c>
      <c r="N93" s="10">
        <f t="shared" si="2"/>
        <v>4.8888888888888982E-2</v>
      </c>
    </row>
    <row r="94" spans="1:14" x14ac:dyDescent="0.2">
      <c r="A94" s="6">
        <v>90</v>
      </c>
      <c r="B94" s="7" t="s">
        <v>298</v>
      </c>
      <c r="C94" s="6" t="s">
        <v>299</v>
      </c>
      <c r="D94" s="8">
        <v>55.5</v>
      </c>
      <c r="E94" s="8">
        <v>55.6</v>
      </c>
      <c r="F94" s="8">
        <v>55.3</v>
      </c>
      <c r="G94" s="8">
        <v>56.1</v>
      </c>
      <c r="H94" s="8">
        <v>56.6</v>
      </c>
      <c r="I94" s="8">
        <v>58.7</v>
      </c>
      <c r="J94" s="8">
        <v>57.6</v>
      </c>
      <c r="K94" s="8">
        <v>57.7</v>
      </c>
      <c r="L94" s="8">
        <v>57.8</v>
      </c>
      <c r="M94" s="8">
        <v>54.2</v>
      </c>
      <c r="N94" s="10">
        <f t="shared" si="2"/>
        <v>-2.3423423423423406E-2</v>
      </c>
    </row>
    <row r="95" spans="1:14" ht="30" x14ac:dyDescent="0.2">
      <c r="A95" s="6">
        <v>91</v>
      </c>
      <c r="B95" s="7" t="s">
        <v>301</v>
      </c>
      <c r="C95" s="6" t="s">
        <v>302</v>
      </c>
      <c r="D95" s="8">
        <v>43.2</v>
      </c>
      <c r="E95" s="8">
        <v>43</v>
      </c>
      <c r="F95" s="8">
        <v>40.6</v>
      </c>
      <c r="G95" s="8">
        <v>36.1</v>
      </c>
      <c r="H95" s="8">
        <v>39.299999999999997</v>
      </c>
      <c r="I95" s="8">
        <v>48.9</v>
      </c>
      <c r="J95" s="8">
        <v>49.2</v>
      </c>
      <c r="K95" s="8">
        <v>46.1</v>
      </c>
      <c r="L95" s="8">
        <v>40.700000000000003</v>
      </c>
      <c r="M95" s="8">
        <v>35.5</v>
      </c>
      <c r="N95" s="10">
        <f t="shared" si="2"/>
        <v>-0.17824074074074081</v>
      </c>
    </row>
    <row r="96" spans="1:14" x14ac:dyDescent="0.2">
      <c r="A96" s="6">
        <v>92</v>
      </c>
      <c r="B96" s="7" t="s">
        <v>304</v>
      </c>
      <c r="C96" s="6" t="s">
        <v>305</v>
      </c>
      <c r="D96" s="8">
        <v>25.8</v>
      </c>
      <c r="E96" s="8">
        <v>25.4</v>
      </c>
      <c r="F96" s="8">
        <v>25.7</v>
      </c>
      <c r="G96" s="8">
        <v>26.1</v>
      </c>
      <c r="H96" s="8">
        <v>26</v>
      </c>
      <c r="I96" s="8">
        <v>26.1</v>
      </c>
      <c r="J96" s="8">
        <v>25.9</v>
      </c>
      <c r="K96" s="8">
        <v>26</v>
      </c>
      <c r="L96" s="8">
        <v>26.1</v>
      </c>
      <c r="M96" s="8">
        <v>25.9</v>
      </c>
      <c r="N96" s="10">
        <f t="shared" si="2"/>
        <v>3.8759689922480689E-3</v>
      </c>
    </row>
    <row r="97" spans="1:14" ht="30" x14ac:dyDescent="0.2">
      <c r="A97" s="6">
        <v>93</v>
      </c>
      <c r="B97" s="7" t="s">
        <v>307</v>
      </c>
      <c r="C97" s="6" t="s">
        <v>308</v>
      </c>
      <c r="D97" s="8">
        <v>17</v>
      </c>
      <c r="E97" s="8">
        <v>16.899999999999999</v>
      </c>
      <c r="F97" s="8">
        <v>16.8</v>
      </c>
      <c r="G97" s="8">
        <v>17</v>
      </c>
      <c r="H97" s="8">
        <v>17.100000000000001</v>
      </c>
      <c r="I97" s="8">
        <v>17.2</v>
      </c>
      <c r="J97" s="8">
        <v>17.3</v>
      </c>
      <c r="K97" s="8">
        <v>17.5</v>
      </c>
      <c r="L97" s="8">
        <v>17.5</v>
      </c>
      <c r="M97" s="8">
        <v>17.899999999999999</v>
      </c>
      <c r="N97" s="10">
        <f t="shared" si="2"/>
        <v>5.2941176470588047E-2</v>
      </c>
    </row>
    <row r="98" spans="1:14" x14ac:dyDescent="0.2">
      <c r="A98" s="6">
        <v>94</v>
      </c>
      <c r="B98" s="7" t="s">
        <v>310</v>
      </c>
      <c r="C98" s="6" t="s">
        <v>311</v>
      </c>
      <c r="D98" s="8">
        <v>1.86</v>
      </c>
      <c r="E98" s="8">
        <v>1.86</v>
      </c>
      <c r="F98" s="8">
        <v>1.86</v>
      </c>
      <c r="G98" s="8">
        <v>1.86</v>
      </c>
      <c r="H98" s="8">
        <v>1.86</v>
      </c>
      <c r="I98" s="8">
        <v>1.86</v>
      </c>
      <c r="J98" s="8">
        <v>1.86</v>
      </c>
      <c r="K98" s="8">
        <v>1.86</v>
      </c>
      <c r="L98" s="8">
        <v>1.86</v>
      </c>
      <c r="M98" s="8">
        <v>1.86</v>
      </c>
      <c r="N98" s="10">
        <f t="shared" si="2"/>
        <v>0</v>
      </c>
    </row>
    <row r="99" spans="1:14" x14ac:dyDescent="0.2">
      <c r="A99" s="6">
        <v>95</v>
      </c>
      <c r="B99" s="7" t="s">
        <v>313</v>
      </c>
      <c r="C99" s="6" t="s">
        <v>314</v>
      </c>
      <c r="D99" s="8">
        <v>86.5</v>
      </c>
      <c r="E99" s="8">
        <v>86.8</v>
      </c>
      <c r="F99" s="8">
        <v>87</v>
      </c>
      <c r="G99" s="8">
        <v>82.6</v>
      </c>
      <c r="H99" s="8">
        <v>80.099999999999994</v>
      </c>
      <c r="I99" s="8">
        <v>80.400000000000006</v>
      </c>
      <c r="J99" s="8">
        <v>80.400000000000006</v>
      </c>
      <c r="K99" s="8">
        <v>79.7</v>
      </c>
      <c r="L99" s="8">
        <v>75.5</v>
      </c>
      <c r="M99" s="8">
        <v>72.7</v>
      </c>
      <c r="N99" s="10">
        <f t="shared" si="2"/>
        <v>-0.15953757225433518</v>
      </c>
    </row>
    <row r="100" spans="1:14" x14ac:dyDescent="0.2">
      <c r="A100" s="6">
        <v>96</v>
      </c>
      <c r="B100" s="7" t="s">
        <v>316</v>
      </c>
      <c r="C100" s="6" t="s">
        <v>317</v>
      </c>
      <c r="D100" s="8">
        <v>36.5</v>
      </c>
      <c r="E100" s="8">
        <v>36.700000000000003</v>
      </c>
      <c r="F100" s="8">
        <v>36.9</v>
      </c>
      <c r="G100" s="8">
        <v>37.299999999999997</v>
      </c>
      <c r="H100" s="8">
        <v>34.700000000000003</v>
      </c>
      <c r="I100" s="8">
        <v>34</v>
      </c>
      <c r="J100" s="8">
        <v>31</v>
      </c>
      <c r="K100" s="8">
        <v>27.7</v>
      </c>
      <c r="L100" s="8">
        <v>27.7</v>
      </c>
      <c r="M100" s="8">
        <v>26.9</v>
      </c>
      <c r="N100" s="10">
        <f t="shared" si="2"/>
        <v>-0.26301369863013702</v>
      </c>
    </row>
    <row r="101" spans="1:14" x14ac:dyDescent="0.2">
      <c r="A101" s="6">
        <v>97</v>
      </c>
      <c r="B101" s="7" t="s">
        <v>319</v>
      </c>
      <c r="C101" s="6" t="s">
        <v>320</v>
      </c>
      <c r="D101" s="8">
        <v>37.5</v>
      </c>
      <c r="E101" s="8">
        <v>37.6</v>
      </c>
      <c r="F101" s="8">
        <v>37.5</v>
      </c>
      <c r="G101" s="8">
        <v>37.700000000000003</v>
      </c>
      <c r="H101" s="8">
        <v>38.200000000000003</v>
      </c>
      <c r="I101" s="8">
        <v>38.1</v>
      </c>
      <c r="J101" s="8">
        <v>37</v>
      </c>
      <c r="K101" s="8">
        <v>35.6</v>
      </c>
      <c r="L101" s="8">
        <v>35.299999999999997</v>
      </c>
      <c r="M101" s="8">
        <v>35.4</v>
      </c>
      <c r="N101" s="10">
        <f t="shared" ref="N101:N132" si="3">IF(D101=0,"N/A",(M101/D101)-1)</f>
        <v>-5.600000000000005E-2</v>
      </c>
    </row>
    <row r="102" spans="1:14" x14ac:dyDescent="0.2">
      <c r="A102" s="6">
        <v>98</v>
      </c>
      <c r="B102" s="7" t="s">
        <v>322</v>
      </c>
      <c r="C102" s="6" t="s">
        <v>323</v>
      </c>
      <c r="D102" s="8">
        <v>34.6</v>
      </c>
      <c r="E102" s="8">
        <v>35.700000000000003</v>
      </c>
      <c r="F102" s="8">
        <v>39</v>
      </c>
      <c r="G102" s="8">
        <v>37.799999999999997</v>
      </c>
      <c r="H102" s="8">
        <v>39.5</v>
      </c>
      <c r="I102" s="8">
        <v>40.700000000000003</v>
      </c>
      <c r="J102" s="8">
        <v>19.8</v>
      </c>
      <c r="K102" s="8">
        <v>18</v>
      </c>
      <c r="L102" s="8">
        <v>16.5</v>
      </c>
      <c r="M102" s="8">
        <v>15.9</v>
      </c>
      <c r="N102" s="10">
        <f t="shared" si="3"/>
        <v>-0.54046242774566478</v>
      </c>
    </row>
    <row r="103" spans="1:14" x14ac:dyDescent="0.2">
      <c r="A103" s="6">
        <v>99</v>
      </c>
      <c r="B103" s="7" t="s">
        <v>325</v>
      </c>
      <c r="C103" s="6" t="s">
        <v>326</v>
      </c>
      <c r="D103" s="8">
        <v>99.2</v>
      </c>
      <c r="E103" s="8">
        <v>103.7</v>
      </c>
      <c r="F103" s="8">
        <v>104.3</v>
      </c>
      <c r="G103" s="8">
        <v>104.8</v>
      </c>
      <c r="H103" s="8">
        <v>100.6</v>
      </c>
      <c r="I103" s="8">
        <v>96.1</v>
      </c>
      <c r="J103" s="8">
        <v>102.4</v>
      </c>
      <c r="K103" s="8">
        <v>99.1</v>
      </c>
      <c r="L103" s="8">
        <v>97.2</v>
      </c>
      <c r="M103" s="8">
        <v>96.3</v>
      </c>
      <c r="N103" s="10">
        <f t="shared" si="3"/>
        <v>-2.9233870967741993E-2</v>
      </c>
    </row>
    <row r="104" spans="1:14" x14ac:dyDescent="0.2">
      <c r="A104" s="6">
        <v>100</v>
      </c>
      <c r="B104" s="7" t="s">
        <v>328</v>
      </c>
      <c r="C104" s="6" t="s">
        <v>329</v>
      </c>
      <c r="D104" s="8">
        <v>5.04</v>
      </c>
      <c r="E104" s="8">
        <v>4.97</v>
      </c>
      <c r="F104" s="8">
        <v>4.99</v>
      </c>
      <c r="G104" s="8">
        <v>4.9800000000000004</v>
      </c>
      <c r="H104" s="8">
        <v>4.97</v>
      </c>
      <c r="I104" s="8">
        <v>4.97</v>
      </c>
      <c r="J104" s="8">
        <v>4.96</v>
      </c>
      <c r="K104" s="8">
        <v>4.95</v>
      </c>
      <c r="L104" s="8">
        <v>4.92</v>
      </c>
      <c r="M104" s="8">
        <v>4.91</v>
      </c>
      <c r="N104" s="10">
        <f t="shared" si="3"/>
        <v>-2.5793650793650813E-2</v>
      </c>
    </row>
    <row r="105" spans="1:14" x14ac:dyDescent="0.2">
      <c r="A105" s="6">
        <v>101</v>
      </c>
      <c r="B105" s="7" t="s">
        <v>331</v>
      </c>
      <c r="C105" s="6" t="s">
        <v>332</v>
      </c>
      <c r="D105" s="8">
        <v>96.9</v>
      </c>
      <c r="E105" s="8">
        <v>97.6</v>
      </c>
      <c r="F105" s="8">
        <v>96.9</v>
      </c>
      <c r="G105" s="8">
        <v>95.5</v>
      </c>
      <c r="H105" s="8">
        <v>97.1</v>
      </c>
      <c r="I105" s="8">
        <v>101.9</v>
      </c>
      <c r="J105" s="8">
        <v>101.1</v>
      </c>
      <c r="K105" s="8">
        <v>101</v>
      </c>
      <c r="L105" s="8">
        <v>101.1</v>
      </c>
      <c r="M105" s="8">
        <v>101.4</v>
      </c>
      <c r="N105" s="10">
        <f t="shared" si="3"/>
        <v>4.6439628482972228E-2</v>
      </c>
    </row>
    <row r="106" spans="1:14" x14ac:dyDescent="0.2">
      <c r="A106" s="6">
        <v>102</v>
      </c>
      <c r="B106" s="7" t="s">
        <v>334</v>
      </c>
      <c r="C106" s="6" t="s">
        <v>335</v>
      </c>
      <c r="D106" s="8">
        <v>16.7</v>
      </c>
      <c r="E106" s="8">
        <v>16.7</v>
      </c>
      <c r="F106" s="8">
        <v>16.5</v>
      </c>
      <c r="G106" s="8">
        <v>16.2</v>
      </c>
      <c r="H106" s="8">
        <v>16</v>
      </c>
      <c r="I106" s="8">
        <v>16</v>
      </c>
      <c r="J106" s="8">
        <v>15.8</v>
      </c>
      <c r="K106" s="8">
        <v>15.6</v>
      </c>
      <c r="L106" s="8">
        <v>9.83</v>
      </c>
      <c r="M106" s="8">
        <v>9.65</v>
      </c>
      <c r="N106" s="10">
        <f t="shared" si="3"/>
        <v>-0.42215568862275443</v>
      </c>
    </row>
    <row r="107" spans="1:14" x14ac:dyDescent="0.2">
      <c r="A107" s="6">
        <v>103</v>
      </c>
      <c r="B107" s="7" t="s">
        <v>337</v>
      </c>
      <c r="C107" s="6" t="s">
        <v>338</v>
      </c>
      <c r="D107" s="8">
        <v>24.9</v>
      </c>
      <c r="E107" s="8">
        <v>24.9</v>
      </c>
      <c r="F107" s="8">
        <v>25.2</v>
      </c>
      <c r="G107" s="8">
        <v>25.5</v>
      </c>
      <c r="H107" s="8">
        <v>25.4</v>
      </c>
      <c r="I107" s="8">
        <v>24.6</v>
      </c>
      <c r="J107" s="8">
        <v>19.399999999999999</v>
      </c>
      <c r="K107" s="8">
        <v>19.3</v>
      </c>
      <c r="L107" s="8">
        <v>18.899999999999999</v>
      </c>
      <c r="M107" s="8">
        <v>17.2</v>
      </c>
      <c r="N107" s="10">
        <f t="shared" si="3"/>
        <v>-0.30923694779116462</v>
      </c>
    </row>
    <row r="108" spans="1:14" x14ac:dyDescent="0.2">
      <c r="A108" s="6">
        <v>104</v>
      </c>
      <c r="B108" s="7" t="s">
        <v>340</v>
      </c>
      <c r="C108" s="6" t="s">
        <v>341</v>
      </c>
      <c r="D108" s="8">
        <v>15</v>
      </c>
      <c r="E108" s="8">
        <v>15.1</v>
      </c>
      <c r="F108" s="8">
        <v>15.3</v>
      </c>
      <c r="G108" s="8">
        <v>15.3</v>
      </c>
      <c r="H108" s="8">
        <v>15.5</v>
      </c>
      <c r="I108" s="8">
        <v>15.7</v>
      </c>
      <c r="J108" s="8">
        <v>15.8</v>
      </c>
      <c r="K108" s="8">
        <v>15.8</v>
      </c>
      <c r="L108" s="8">
        <v>15.8</v>
      </c>
      <c r="M108" s="8">
        <v>15.7</v>
      </c>
      <c r="N108" s="10">
        <f t="shared" si="3"/>
        <v>4.6666666666666634E-2</v>
      </c>
    </row>
    <row r="109" spans="1:14" x14ac:dyDescent="0.2">
      <c r="A109" s="6">
        <v>105</v>
      </c>
      <c r="B109" s="7" t="s">
        <v>343</v>
      </c>
      <c r="C109" s="6" t="s">
        <v>344</v>
      </c>
      <c r="D109" s="8">
        <v>6.99</v>
      </c>
      <c r="E109" s="8">
        <v>6.99</v>
      </c>
      <c r="F109" s="8">
        <v>6.99</v>
      </c>
      <c r="G109" s="8">
        <v>6.96</v>
      </c>
      <c r="H109" s="8">
        <v>6.93</v>
      </c>
      <c r="I109" s="8">
        <v>6.93</v>
      </c>
      <c r="J109" s="8">
        <v>6.9</v>
      </c>
      <c r="K109" s="8">
        <v>6.83</v>
      </c>
      <c r="L109" s="8">
        <v>6.82</v>
      </c>
      <c r="M109" s="8">
        <v>6.82</v>
      </c>
      <c r="N109" s="10">
        <f t="shared" si="3"/>
        <v>-2.4320457796852657E-2</v>
      </c>
    </row>
    <row r="110" spans="1:14" x14ac:dyDescent="0.2">
      <c r="A110" s="6">
        <v>106</v>
      </c>
      <c r="B110" s="7" t="s">
        <v>346</v>
      </c>
      <c r="C110" s="6" t="s">
        <v>347</v>
      </c>
      <c r="D110" s="8">
        <v>65.099999999999994</v>
      </c>
      <c r="E110" s="8">
        <v>65.400000000000006</v>
      </c>
      <c r="F110" s="8">
        <v>65.8</v>
      </c>
      <c r="G110" s="8">
        <v>65.599999999999994</v>
      </c>
      <c r="H110" s="8">
        <v>65.8</v>
      </c>
      <c r="I110" s="8">
        <v>66.3</v>
      </c>
      <c r="J110" s="8">
        <v>66.599999999999994</v>
      </c>
      <c r="K110" s="8">
        <v>66.400000000000006</v>
      </c>
      <c r="L110" s="8">
        <v>66.8</v>
      </c>
      <c r="M110" s="8">
        <v>66.900000000000006</v>
      </c>
      <c r="N110" s="10">
        <f t="shared" si="3"/>
        <v>2.7649769585253559E-2</v>
      </c>
    </row>
    <row r="111" spans="1:14" x14ac:dyDescent="0.2">
      <c r="A111" s="6">
        <v>107</v>
      </c>
      <c r="B111" s="7" t="s">
        <v>349</v>
      </c>
      <c r="C111" s="6" t="s">
        <v>350</v>
      </c>
      <c r="D111" s="8">
        <v>56.1</v>
      </c>
      <c r="E111" s="8">
        <v>55.1</v>
      </c>
      <c r="F111" s="8">
        <v>53.8</v>
      </c>
      <c r="G111" s="8">
        <v>53.8</v>
      </c>
      <c r="H111" s="8">
        <v>53.8</v>
      </c>
      <c r="I111" s="8">
        <v>53.8</v>
      </c>
      <c r="J111" s="8">
        <v>53.7</v>
      </c>
      <c r="K111" s="8">
        <v>53.2</v>
      </c>
      <c r="L111" s="8">
        <v>51.4</v>
      </c>
      <c r="M111" s="8">
        <v>50.8</v>
      </c>
      <c r="N111" s="10">
        <f t="shared" si="3"/>
        <v>-9.4474153297682828E-2</v>
      </c>
    </row>
    <row r="112" spans="1:14" x14ac:dyDescent="0.2">
      <c r="A112" s="6">
        <v>108</v>
      </c>
      <c r="B112" s="7" t="s">
        <v>352</v>
      </c>
      <c r="C112" s="6" t="s">
        <v>353</v>
      </c>
      <c r="D112" s="8">
        <v>13.4</v>
      </c>
      <c r="E112" s="8">
        <v>13.5</v>
      </c>
      <c r="F112" s="8">
        <v>13.5</v>
      </c>
      <c r="G112" s="8">
        <v>13.6</v>
      </c>
      <c r="H112" s="8">
        <v>13.6</v>
      </c>
      <c r="I112" s="8">
        <v>13.7</v>
      </c>
      <c r="J112" s="8">
        <v>13.7</v>
      </c>
      <c r="K112" s="8">
        <v>13.7</v>
      </c>
      <c r="L112" s="8">
        <v>13.4</v>
      </c>
      <c r="M112" s="8">
        <v>13.3</v>
      </c>
      <c r="N112" s="10">
        <f t="shared" si="3"/>
        <v>-7.4626865671642006E-3</v>
      </c>
    </row>
    <row r="113" spans="1:14" ht="30" x14ac:dyDescent="0.2">
      <c r="A113" s="6">
        <v>109</v>
      </c>
      <c r="B113" s="7" t="s">
        <v>355</v>
      </c>
      <c r="C113" s="6" t="s">
        <v>356</v>
      </c>
      <c r="D113" s="8">
        <v>13.1</v>
      </c>
      <c r="E113" s="8">
        <v>13</v>
      </c>
      <c r="F113" s="8">
        <v>13.1</v>
      </c>
      <c r="G113" s="8">
        <v>12.9</v>
      </c>
      <c r="H113" s="8">
        <v>12.9</v>
      </c>
      <c r="I113" s="8">
        <v>12.8</v>
      </c>
      <c r="J113" s="8">
        <v>12.9</v>
      </c>
      <c r="K113" s="8">
        <v>12.8</v>
      </c>
      <c r="L113" s="8">
        <v>12.5</v>
      </c>
      <c r="M113" s="8">
        <v>12.2</v>
      </c>
      <c r="N113" s="10">
        <f t="shared" si="3"/>
        <v>-6.8702290076335881E-2</v>
      </c>
    </row>
    <row r="114" spans="1:14" x14ac:dyDescent="0.2">
      <c r="A114" s="6">
        <v>110</v>
      </c>
      <c r="B114" s="7" t="s">
        <v>358</v>
      </c>
      <c r="C114" s="6" t="s">
        <v>359</v>
      </c>
      <c r="D114" s="8">
        <v>56.7</v>
      </c>
      <c r="E114" s="8">
        <v>55.9</v>
      </c>
      <c r="F114" s="8">
        <v>54</v>
      </c>
      <c r="G114" s="8">
        <v>49.4</v>
      </c>
      <c r="H114" s="8">
        <v>44.4</v>
      </c>
      <c r="I114" s="8">
        <v>39.700000000000003</v>
      </c>
      <c r="J114" s="8">
        <v>36.700000000000003</v>
      </c>
      <c r="K114" s="8">
        <v>35.6</v>
      </c>
      <c r="L114" s="8">
        <v>35</v>
      </c>
      <c r="M114" s="8">
        <v>33.9</v>
      </c>
      <c r="N114" s="10">
        <f t="shared" si="3"/>
        <v>-0.40211640211640221</v>
      </c>
    </row>
    <row r="115" spans="1:14" x14ac:dyDescent="0.2">
      <c r="A115" s="6">
        <v>111</v>
      </c>
      <c r="B115" s="7" t="s">
        <v>361</v>
      </c>
      <c r="C115" s="6" t="s">
        <v>362</v>
      </c>
      <c r="D115" s="8">
        <v>23.1</v>
      </c>
      <c r="E115" s="8">
        <v>23.4</v>
      </c>
      <c r="F115" s="8">
        <v>23.3</v>
      </c>
      <c r="G115" s="8">
        <v>23.3</v>
      </c>
      <c r="H115" s="8">
        <v>23.3</v>
      </c>
      <c r="I115" s="8">
        <v>23.3</v>
      </c>
      <c r="J115" s="8">
        <v>23.1</v>
      </c>
      <c r="K115" s="8">
        <v>22.9</v>
      </c>
      <c r="L115" s="8">
        <v>22.9</v>
      </c>
      <c r="M115" s="8">
        <v>22.9</v>
      </c>
      <c r="N115" s="10">
        <f t="shared" si="3"/>
        <v>-8.6580086580088089E-3</v>
      </c>
    </row>
    <row r="116" spans="1:14" ht="30" x14ac:dyDescent="0.2">
      <c r="A116" s="6">
        <v>112</v>
      </c>
      <c r="B116" s="7" t="s">
        <v>364</v>
      </c>
      <c r="C116" s="6" t="s">
        <v>365</v>
      </c>
      <c r="D116" s="8">
        <v>13.9</v>
      </c>
      <c r="E116" s="8">
        <v>14</v>
      </c>
      <c r="F116" s="8">
        <v>14</v>
      </c>
      <c r="G116" s="8">
        <v>14.1</v>
      </c>
      <c r="H116" s="8">
        <v>14.1</v>
      </c>
      <c r="I116" s="8">
        <v>14.2</v>
      </c>
      <c r="J116" s="8">
        <v>14.2</v>
      </c>
      <c r="K116" s="8">
        <v>14.3</v>
      </c>
      <c r="L116" s="8">
        <v>14.3</v>
      </c>
      <c r="M116" s="8">
        <v>14.3</v>
      </c>
      <c r="N116" s="10">
        <f t="shared" si="3"/>
        <v>2.877697841726623E-2</v>
      </c>
    </row>
    <row r="117" spans="1:14" x14ac:dyDescent="0.2">
      <c r="A117" s="6">
        <v>113</v>
      </c>
      <c r="B117" s="7" t="s">
        <v>367</v>
      </c>
      <c r="C117" s="6" t="s">
        <v>368</v>
      </c>
      <c r="D117" s="8">
        <v>32.700000000000003</v>
      </c>
      <c r="E117" s="8">
        <v>32.700000000000003</v>
      </c>
      <c r="F117" s="8">
        <v>32.6</v>
      </c>
      <c r="G117" s="8">
        <v>32.6</v>
      </c>
      <c r="H117" s="8">
        <v>32.6</v>
      </c>
      <c r="I117" s="8">
        <v>32.6</v>
      </c>
      <c r="J117" s="8">
        <v>32.6</v>
      </c>
      <c r="K117" s="8">
        <v>32.6</v>
      </c>
      <c r="L117" s="8">
        <v>31.6</v>
      </c>
      <c r="M117" s="8">
        <v>28.7</v>
      </c>
      <c r="N117" s="10">
        <f t="shared" si="3"/>
        <v>-0.12232415902140681</v>
      </c>
    </row>
    <row r="118" spans="1:14" x14ac:dyDescent="0.2">
      <c r="A118" s="6">
        <v>114</v>
      </c>
      <c r="B118" s="7" t="s">
        <v>370</v>
      </c>
      <c r="C118" s="6" t="s">
        <v>371</v>
      </c>
      <c r="D118" s="8">
        <v>37.4</v>
      </c>
      <c r="E118" s="8">
        <v>38.1</v>
      </c>
      <c r="F118" s="8">
        <v>38.4</v>
      </c>
      <c r="G118" s="8">
        <v>38.700000000000003</v>
      </c>
      <c r="H118" s="8">
        <v>39</v>
      </c>
      <c r="I118" s="8">
        <v>41.5</v>
      </c>
      <c r="J118" s="8">
        <v>40.799999999999997</v>
      </c>
      <c r="K118" s="8">
        <v>50.3</v>
      </c>
      <c r="L118" s="8">
        <v>40.9</v>
      </c>
      <c r="M118" s="8">
        <v>41.6</v>
      </c>
      <c r="N118" s="10">
        <f t="shared" si="3"/>
        <v>0.11229946524064172</v>
      </c>
    </row>
    <row r="119" spans="1:14" x14ac:dyDescent="0.2">
      <c r="A119" s="6">
        <v>115</v>
      </c>
      <c r="B119" s="7" t="s">
        <v>373</v>
      </c>
      <c r="C119" s="6" t="s">
        <v>374</v>
      </c>
      <c r="D119" s="8">
        <v>39.799999999999997</v>
      </c>
      <c r="E119" s="8">
        <v>39.799999999999997</v>
      </c>
      <c r="F119" s="8">
        <v>40</v>
      </c>
      <c r="G119" s="8">
        <v>40.1</v>
      </c>
      <c r="H119" s="8">
        <v>40</v>
      </c>
      <c r="I119" s="8">
        <v>39.6</v>
      </c>
      <c r="J119" s="8">
        <v>40.1</v>
      </c>
      <c r="K119" s="8">
        <v>40.200000000000003</v>
      </c>
      <c r="L119" s="8">
        <v>39.1</v>
      </c>
      <c r="M119" s="8">
        <v>38.9</v>
      </c>
      <c r="N119" s="10">
        <f t="shared" si="3"/>
        <v>-2.2613065326633097E-2</v>
      </c>
    </row>
    <row r="120" spans="1:14" ht="30" x14ac:dyDescent="0.2">
      <c r="A120" s="6">
        <v>116</v>
      </c>
      <c r="B120" s="7" t="s">
        <v>376</v>
      </c>
      <c r="C120" s="6" t="s">
        <v>377</v>
      </c>
      <c r="D120" s="8">
        <v>6.8</v>
      </c>
      <c r="E120" s="8">
        <v>7.01</v>
      </c>
      <c r="F120" s="8">
        <v>7.01</v>
      </c>
      <c r="G120" s="8">
        <v>7</v>
      </c>
      <c r="H120" s="8">
        <v>7.05</v>
      </c>
      <c r="I120" s="8">
        <v>6.35</v>
      </c>
      <c r="J120" s="8">
        <v>7.08</v>
      </c>
      <c r="K120" s="8">
        <v>7.28</v>
      </c>
      <c r="L120" s="8">
        <v>6.94</v>
      </c>
      <c r="M120" s="8">
        <v>6.96</v>
      </c>
      <c r="N120" s="10">
        <f t="shared" si="3"/>
        <v>2.3529411764705799E-2</v>
      </c>
    </row>
    <row r="121" spans="1:14" x14ac:dyDescent="0.2">
      <c r="A121" s="6">
        <v>117</v>
      </c>
      <c r="B121" s="7" t="s">
        <v>379</v>
      </c>
      <c r="C121" s="6" t="s">
        <v>380</v>
      </c>
      <c r="D121" s="8">
        <v>159.1</v>
      </c>
      <c r="E121" s="8">
        <v>161.5</v>
      </c>
      <c r="F121" s="8">
        <v>164.6</v>
      </c>
      <c r="G121" s="8">
        <v>167.3</v>
      </c>
      <c r="H121" s="8">
        <v>169.1</v>
      </c>
      <c r="I121" s="8">
        <v>174.1</v>
      </c>
      <c r="J121" s="8">
        <v>174.5</v>
      </c>
      <c r="K121" s="8">
        <v>175.3</v>
      </c>
      <c r="L121" s="8">
        <v>175.2</v>
      </c>
      <c r="M121" s="8">
        <v>176.1</v>
      </c>
      <c r="N121" s="10">
        <f t="shared" si="3"/>
        <v>0.10685103708359533</v>
      </c>
    </row>
    <row r="122" spans="1:14" x14ac:dyDescent="0.2">
      <c r="A122" s="6">
        <v>118</v>
      </c>
      <c r="B122" s="7" t="s">
        <v>382</v>
      </c>
      <c r="C122" s="6" t="s">
        <v>383</v>
      </c>
      <c r="D122" s="8">
        <v>20.2</v>
      </c>
      <c r="E122" s="8">
        <v>20.2</v>
      </c>
      <c r="F122" s="8">
        <v>20.100000000000001</v>
      </c>
      <c r="G122" s="8">
        <v>20.399999999999999</v>
      </c>
      <c r="H122" s="8">
        <v>20.5</v>
      </c>
      <c r="I122" s="8">
        <v>22</v>
      </c>
      <c r="J122" s="8">
        <v>22.2</v>
      </c>
      <c r="K122" s="8">
        <v>22.3</v>
      </c>
      <c r="L122" s="8">
        <v>22.2</v>
      </c>
      <c r="M122" s="8">
        <v>22.2</v>
      </c>
      <c r="N122" s="10">
        <f t="shared" si="3"/>
        <v>9.9009900990099098E-2</v>
      </c>
    </row>
    <row r="123" spans="1:14" x14ac:dyDescent="0.2">
      <c r="A123" s="6">
        <v>119</v>
      </c>
      <c r="B123" s="7" t="s">
        <v>385</v>
      </c>
      <c r="C123" s="6" t="s">
        <v>386</v>
      </c>
      <c r="D123" s="8">
        <v>1.38</v>
      </c>
      <c r="E123" s="8">
        <v>1.38</v>
      </c>
      <c r="F123" s="8">
        <v>1.38</v>
      </c>
      <c r="G123" s="8">
        <v>1.38</v>
      </c>
      <c r="H123" s="8">
        <v>1.38</v>
      </c>
      <c r="I123" s="8">
        <v>1.38</v>
      </c>
      <c r="J123" s="8">
        <v>1.38</v>
      </c>
      <c r="K123" s="8">
        <v>1.38</v>
      </c>
      <c r="L123" s="8">
        <v>1.38</v>
      </c>
      <c r="M123" s="8">
        <v>1.38</v>
      </c>
      <c r="N123" s="10">
        <f t="shared" si="3"/>
        <v>0</v>
      </c>
    </row>
    <row r="124" spans="1:14" x14ac:dyDescent="0.2">
      <c r="A124" s="6">
        <v>120</v>
      </c>
      <c r="B124" s="7" t="s">
        <v>388</v>
      </c>
      <c r="C124" s="6" t="s">
        <v>389</v>
      </c>
      <c r="D124" s="8">
        <v>57.9</v>
      </c>
      <c r="E124" s="8">
        <v>56.6</v>
      </c>
      <c r="F124" s="8">
        <v>56.7</v>
      </c>
      <c r="G124" s="8">
        <v>56.8</v>
      </c>
      <c r="H124" s="8">
        <v>57</v>
      </c>
      <c r="I124" s="8">
        <v>56.8</v>
      </c>
      <c r="J124" s="8">
        <v>56.6</v>
      </c>
      <c r="K124" s="8">
        <v>56.4</v>
      </c>
      <c r="L124" s="8">
        <v>55.8</v>
      </c>
      <c r="M124" s="8">
        <v>55.4</v>
      </c>
      <c r="N124" s="10">
        <f t="shared" si="3"/>
        <v>-4.3177892918825567E-2</v>
      </c>
    </row>
    <row r="125" spans="1:14" ht="30" x14ac:dyDescent="0.2">
      <c r="A125" s="6">
        <v>121</v>
      </c>
      <c r="B125" s="7" t="s">
        <v>391</v>
      </c>
      <c r="C125" s="6" t="s">
        <v>392</v>
      </c>
      <c r="D125" s="8">
        <v>2.72</v>
      </c>
      <c r="E125" s="8">
        <v>2.76</v>
      </c>
      <c r="F125" s="8">
        <v>2.8</v>
      </c>
      <c r="G125" s="8">
        <v>2.75</v>
      </c>
      <c r="H125" s="8">
        <v>2.76</v>
      </c>
      <c r="I125" s="8">
        <v>2.78</v>
      </c>
      <c r="J125" s="8">
        <v>2.81</v>
      </c>
      <c r="K125" s="8">
        <v>2.98</v>
      </c>
      <c r="L125" s="8">
        <v>2.98</v>
      </c>
      <c r="M125" s="8">
        <v>2.98</v>
      </c>
      <c r="N125" s="10">
        <f t="shared" si="3"/>
        <v>9.558823529411753E-2</v>
      </c>
    </row>
    <row r="126" spans="1:14" x14ac:dyDescent="0.2">
      <c r="A126" s="6">
        <v>122</v>
      </c>
      <c r="B126" s="7" t="s">
        <v>394</v>
      </c>
      <c r="C126" s="6" t="s">
        <v>395</v>
      </c>
      <c r="D126" s="8">
        <v>4.05</v>
      </c>
      <c r="E126" s="8">
        <v>4.1399999999999997</v>
      </c>
      <c r="F126" s="8">
        <v>4.26</v>
      </c>
      <c r="G126" s="8">
        <v>4.3600000000000003</v>
      </c>
      <c r="H126" s="8">
        <v>4.43</v>
      </c>
      <c r="I126" s="8">
        <v>4.5199999999999996</v>
      </c>
      <c r="J126" s="8">
        <v>4.54</v>
      </c>
      <c r="K126" s="8">
        <v>4.5599999999999996</v>
      </c>
      <c r="L126" s="8">
        <v>4.5599999999999996</v>
      </c>
      <c r="M126" s="8">
        <v>4.57</v>
      </c>
      <c r="N126" s="10">
        <f t="shared" si="3"/>
        <v>0.1283950617283951</v>
      </c>
    </row>
    <row r="127" spans="1:14" x14ac:dyDescent="0.2">
      <c r="A127" s="6">
        <v>123</v>
      </c>
      <c r="B127" s="7" t="s">
        <v>397</v>
      </c>
      <c r="C127" s="6" t="s">
        <v>398</v>
      </c>
      <c r="D127" s="8">
        <v>9.07</v>
      </c>
      <c r="E127" s="8">
        <v>9.25</v>
      </c>
      <c r="F127" s="8">
        <v>9.23</v>
      </c>
      <c r="G127" s="8">
        <v>9.36</v>
      </c>
      <c r="H127" s="8">
        <v>9.4600000000000009</v>
      </c>
      <c r="I127" s="8">
        <v>9.8800000000000008</v>
      </c>
      <c r="J127" s="8">
        <v>9.4</v>
      </c>
      <c r="K127" s="8">
        <v>8.99</v>
      </c>
      <c r="L127" s="8">
        <v>8.57</v>
      </c>
      <c r="M127" s="8">
        <v>8.0399999999999991</v>
      </c>
      <c r="N127" s="10">
        <f t="shared" si="3"/>
        <v>-0.11356119073869908</v>
      </c>
    </row>
    <row r="128" spans="1:14" x14ac:dyDescent="0.2">
      <c r="A128" s="6">
        <v>124</v>
      </c>
      <c r="B128" s="7" t="s">
        <v>400</v>
      </c>
      <c r="C128" s="6" t="s">
        <v>401</v>
      </c>
      <c r="D128" s="8">
        <v>16.8</v>
      </c>
      <c r="E128" s="8">
        <v>15</v>
      </c>
      <c r="F128" s="8">
        <v>14</v>
      </c>
      <c r="G128" s="8">
        <v>13.2</v>
      </c>
      <c r="H128" s="8">
        <v>14</v>
      </c>
      <c r="I128" s="8">
        <v>13.5</v>
      </c>
      <c r="J128" s="8">
        <v>12.8</v>
      </c>
      <c r="K128" s="8">
        <v>11.9</v>
      </c>
      <c r="L128" s="8">
        <v>11.2</v>
      </c>
      <c r="M128" s="8">
        <v>10.6</v>
      </c>
      <c r="N128" s="10">
        <f t="shared" si="3"/>
        <v>-0.36904761904761907</v>
      </c>
    </row>
    <row r="129" spans="1:14" ht="30" x14ac:dyDescent="0.2">
      <c r="A129" s="6">
        <v>125</v>
      </c>
      <c r="B129" s="7" t="s">
        <v>403</v>
      </c>
      <c r="C129" s="6" t="s">
        <v>404</v>
      </c>
      <c r="D129" s="8">
        <v>4.5</v>
      </c>
      <c r="E129" s="8">
        <v>4.3</v>
      </c>
      <c r="F129" s="8">
        <v>4.3600000000000003</v>
      </c>
      <c r="G129" s="8">
        <v>4.42</v>
      </c>
      <c r="H129" s="8">
        <v>4.29</v>
      </c>
      <c r="I129" s="8">
        <v>4.2699999999999996</v>
      </c>
      <c r="J129" s="8">
        <v>4.33</v>
      </c>
      <c r="K129" s="8">
        <v>4.4000000000000004</v>
      </c>
      <c r="L129" s="8">
        <v>4.47</v>
      </c>
      <c r="M129" s="8">
        <v>4.5199999999999996</v>
      </c>
      <c r="N129" s="10">
        <f t="shared" si="3"/>
        <v>4.444444444444251E-3</v>
      </c>
    </row>
    <row r="130" spans="1:14" x14ac:dyDescent="0.2">
      <c r="A130" s="6">
        <v>126</v>
      </c>
      <c r="B130" s="7" t="s">
        <v>406</v>
      </c>
      <c r="C130" s="6" t="s">
        <v>407</v>
      </c>
      <c r="D130" s="8">
        <v>10.3</v>
      </c>
      <c r="E130" s="8">
        <v>10.3</v>
      </c>
      <c r="F130" s="8">
        <v>10.4</v>
      </c>
      <c r="G130" s="8">
        <v>10.4</v>
      </c>
      <c r="H130" s="8">
        <v>10.3</v>
      </c>
      <c r="I130" s="8">
        <v>10.7</v>
      </c>
      <c r="J130" s="8">
        <v>10.9</v>
      </c>
      <c r="K130" s="8">
        <v>11.8</v>
      </c>
      <c r="L130" s="8">
        <v>12.2</v>
      </c>
      <c r="M130" s="8">
        <v>12.2</v>
      </c>
      <c r="N130" s="10">
        <f t="shared" si="3"/>
        <v>0.18446601941747565</v>
      </c>
    </row>
    <row r="131" spans="1:14" x14ac:dyDescent="0.2">
      <c r="A131" s="6">
        <v>127</v>
      </c>
      <c r="B131" s="7" t="s">
        <v>409</v>
      </c>
      <c r="C131" s="6" t="s">
        <v>410</v>
      </c>
      <c r="D131" s="8">
        <v>17.5</v>
      </c>
      <c r="E131" s="8">
        <v>17.7</v>
      </c>
      <c r="F131" s="8">
        <v>18.399999999999999</v>
      </c>
      <c r="G131" s="8">
        <v>18</v>
      </c>
      <c r="H131" s="8">
        <v>18.100000000000001</v>
      </c>
      <c r="I131" s="8">
        <v>18.3</v>
      </c>
      <c r="J131" s="8">
        <v>15.7</v>
      </c>
      <c r="K131" s="8">
        <v>15.5</v>
      </c>
      <c r="L131" s="8">
        <v>15.4</v>
      </c>
      <c r="M131" s="8">
        <v>15.6</v>
      </c>
      <c r="N131" s="10">
        <f t="shared" si="3"/>
        <v>-0.10857142857142854</v>
      </c>
    </row>
    <row r="132" spans="1:14" x14ac:dyDescent="0.2">
      <c r="A132" s="6">
        <v>128</v>
      </c>
      <c r="B132" s="7" t="s">
        <v>412</v>
      </c>
      <c r="C132" s="6" t="s">
        <v>413</v>
      </c>
      <c r="D132" s="8">
        <v>28.5</v>
      </c>
      <c r="E132" s="8">
        <v>28.5</v>
      </c>
      <c r="F132" s="8">
        <v>28.5</v>
      </c>
      <c r="G132" s="8">
        <v>28.5</v>
      </c>
      <c r="H132" s="8">
        <v>28.5</v>
      </c>
      <c r="I132" s="8">
        <v>28.5</v>
      </c>
      <c r="J132" s="8">
        <v>28.5</v>
      </c>
      <c r="K132" s="8">
        <v>28.5</v>
      </c>
      <c r="L132" s="8">
        <v>28.5</v>
      </c>
      <c r="M132" s="8">
        <v>28.5</v>
      </c>
      <c r="N132" s="10">
        <f t="shared" si="3"/>
        <v>0</v>
      </c>
    </row>
    <row r="133" spans="1:14" x14ac:dyDescent="0.2">
      <c r="A133" s="6">
        <v>129</v>
      </c>
      <c r="B133" s="7" t="s">
        <v>415</v>
      </c>
      <c r="C133" s="6" t="s">
        <v>416</v>
      </c>
      <c r="D133" s="8">
        <v>13.3</v>
      </c>
      <c r="E133" s="8">
        <v>13.3</v>
      </c>
      <c r="F133" s="8">
        <v>13.3</v>
      </c>
      <c r="G133" s="8">
        <v>13.3</v>
      </c>
      <c r="H133" s="8">
        <v>13.3</v>
      </c>
      <c r="I133" s="8">
        <v>13.3</v>
      </c>
      <c r="J133" s="8">
        <v>13.3</v>
      </c>
      <c r="K133" s="8">
        <v>13.3</v>
      </c>
      <c r="L133" s="8">
        <v>13.3</v>
      </c>
      <c r="M133" s="8">
        <v>13.3</v>
      </c>
      <c r="N133" s="10">
        <f t="shared" ref="N133:N164" si="4">IF(D133=0,"N/A",(M133/D133)-1)</f>
        <v>0</v>
      </c>
    </row>
    <row r="134" spans="1:14" x14ac:dyDescent="0.2">
      <c r="A134" s="6">
        <v>130</v>
      </c>
      <c r="B134" s="7" t="s">
        <v>418</v>
      </c>
      <c r="C134" s="6" t="s">
        <v>419</v>
      </c>
      <c r="D134" s="8">
        <v>10.8</v>
      </c>
      <c r="E134" s="8">
        <v>10.7</v>
      </c>
      <c r="F134" s="8">
        <v>10.7</v>
      </c>
      <c r="G134" s="8">
        <v>10.7</v>
      </c>
      <c r="H134" s="8">
        <v>10.7</v>
      </c>
      <c r="I134" s="8">
        <v>10.8</v>
      </c>
      <c r="J134" s="8">
        <v>10.8</v>
      </c>
      <c r="K134" s="8">
        <v>10.8</v>
      </c>
      <c r="L134" s="8">
        <v>10.8</v>
      </c>
      <c r="M134" s="8">
        <v>10.8</v>
      </c>
      <c r="N134" s="10">
        <f t="shared" si="4"/>
        <v>0</v>
      </c>
    </row>
    <row r="135" spans="1:14" x14ac:dyDescent="0.2">
      <c r="A135" s="6">
        <v>131</v>
      </c>
      <c r="B135" s="7" t="s">
        <v>421</v>
      </c>
      <c r="C135" s="6" t="s">
        <v>422</v>
      </c>
      <c r="D135" s="8">
        <v>22.6</v>
      </c>
      <c r="E135" s="8">
        <v>23.3</v>
      </c>
      <c r="F135" s="8">
        <v>24.8</v>
      </c>
      <c r="G135" s="8">
        <v>27.4</v>
      </c>
      <c r="H135" s="8">
        <v>26.9</v>
      </c>
      <c r="I135" s="8">
        <v>25.9</v>
      </c>
      <c r="J135" s="8">
        <v>26.6</v>
      </c>
      <c r="K135" s="8">
        <v>26.2</v>
      </c>
      <c r="L135" s="8">
        <v>26.9</v>
      </c>
      <c r="M135" s="8">
        <v>26.7</v>
      </c>
      <c r="N135" s="10">
        <f t="shared" si="4"/>
        <v>0.18141592920353977</v>
      </c>
    </row>
    <row r="136" spans="1:14" ht="30" x14ac:dyDescent="0.2">
      <c r="A136" s="6">
        <v>132</v>
      </c>
      <c r="B136" s="7" t="s">
        <v>424</v>
      </c>
      <c r="C136" s="6" t="s">
        <v>425</v>
      </c>
      <c r="D136" s="8">
        <v>0.158</v>
      </c>
      <c r="E136" s="8">
        <v>0.158</v>
      </c>
      <c r="F136" s="8">
        <v>0.158</v>
      </c>
      <c r="G136" s="8">
        <v>0.157</v>
      </c>
      <c r="H136" s="8">
        <v>0.157</v>
      </c>
      <c r="I136" s="8">
        <v>0.157</v>
      </c>
      <c r="J136" s="8">
        <v>0.156</v>
      </c>
      <c r="K136" s="8">
        <v>0.156</v>
      </c>
      <c r="L136" s="8">
        <v>0.155</v>
      </c>
      <c r="M136" s="8">
        <v>0.152</v>
      </c>
      <c r="N136" s="10">
        <f t="shared" si="4"/>
        <v>-3.7974683544303778E-2</v>
      </c>
    </row>
    <row r="137" spans="1:14" ht="30" x14ac:dyDescent="0.2">
      <c r="A137" s="6">
        <v>133</v>
      </c>
      <c r="B137" s="7" t="s">
        <v>427</v>
      </c>
      <c r="C137" s="6" t="s">
        <v>428</v>
      </c>
      <c r="D137" s="8">
        <v>91.3</v>
      </c>
      <c r="E137" s="8">
        <v>91.9</v>
      </c>
      <c r="F137" s="8">
        <v>90.3</v>
      </c>
      <c r="G137" s="8">
        <v>85.1</v>
      </c>
      <c r="H137" s="8">
        <v>84.2</v>
      </c>
      <c r="I137" s="8">
        <v>87.9</v>
      </c>
      <c r="J137" s="8">
        <v>87.8</v>
      </c>
      <c r="K137" s="8">
        <v>87.9</v>
      </c>
      <c r="L137" s="8">
        <v>89.9</v>
      </c>
      <c r="M137" s="8">
        <v>91</v>
      </c>
      <c r="N137" s="10">
        <f t="shared" si="4"/>
        <v>-3.2858707557502642E-3</v>
      </c>
    </row>
    <row r="138" spans="1:14" ht="30" x14ac:dyDescent="0.2">
      <c r="A138" s="6">
        <v>134</v>
      </c>
      <c r="B138" s="7" t="s">
        <v>430</v>
      </c>
      <c r="C138" s="6" t="s">
        <v>431</v>
      </c>
      <c r="D138" s="8">
        <v>29.5</v>
      </c>
      <c r="E138" s="8">
        <v>30.2</v>
      </c>
      <c r="F138" s="8">
        <v>30.6</v>
      </c>
      <c r="G138" s="8">
        <v>30.8</v>
      </c>
      <c r="H138" s="8">
        <v>30.8</v>
      </c>
      <c r="I138" s="8">
        <v>30.5</v>
      </c>
      <c r="J138" s="8">
        <v>28.9</v>
      </c>
      <c r="K138" s="8">
        <v>27.4</v>
      </c>
      <c r="L138" s="8">
        <v>26.7</v>
      </c>
      <c r="M138" s="8">
        <v>26.1</v>
      </c>
      <c r="N138" s="10">
        <f t="shared" si="4"/>
        <v>-0.11525423728813555</v>
      </c>
    </row>
    <row r="139" spans="1:14" x14ac:dyDescent="0.2">
      <c r="A139" s="6">
        <v>135</v>
      </c>
      <c r="B139" s="7" t="s">
        <v>433</v>
      </c>
      <c r="C139" s="6" t="s">
        <v>434</v>
      </c>
      <c r="D139" s="8">
        <v>54.3</v>
      </c>
      <c r="E139" s="8">
        <v>54.5</v>
      </c>
      <c r="F139" s="8">
        <v>54.7</v>
      </c>
      <c r="G139" s="8">
        <v>55</v>
      </c>
      <c r="H139" s="8">
        <v>55.8</v>
      </c>
      <c r="I139" s="8">
        <v>55.9</v>
      </c>
      <c r="J139" s="8">
        <v>55.5</v>
      </c>
      <c r="K139" s="8">
        <v>55.3</v>
      </c>
      <c r="L139" s="8">
        <v>55.4</v>
      </c>
      <c r="M139" s="8">
        <v>55</v>
      </c>
      <c r="N139" s="10">
        <f t="shared" si="4"/>
        <v>1.2891344383057168E-2</v>
      </c>
    </row>
    <row r="140" spans="1:14" x14ac:dyDescent="0.2">
      <c r="A140" s="6">
        <v>136</v>
      </c>
      <c r="B140" s="7" t="s">
        <v>436</v>
      </c>
      <c r="C140" s="6" t="s">
        <v>437</v>
      </c>
      <c r="D140" s="8">
        <v>42.4</v>
      </c>
      <c r="E140" s="8">
        <v>42</v>
      </c>
      <c r="F140" s="8">
        <v>42.1</v>
      </c>
      <c r="G140" s="8">
        <v>40.299999999999997</v>
      </c>
      <c r="H140" s="8">
        <v>37.9</v>
      </c>
      <c r="I140" s="8">
        <v>37</v>
      </c>
      <c r="J140" s="8">
        <v>36</v>
      </c>
      <c r="K140" s="8">
        <v>34.299999999999997</v>
      </c>
      <c r="L140" s="8">
        <v>33.9</v>
      </c>
      <c r="M140" s="8">
        <v>32.6</v>
      </c>
      <c r="N140" s="10">
        <f t="shared" si="4"/>
        <v>-0.23113207547169801</v>
      </c>
    </row>
    <row r="141" spans="1:14" x14ac:dyDescent="0.2">
      <c r="A141" s="6">
        <v>137</v>
      </c>
      <c r="B141" s="7" t="s">
        <v>439</v>
      </c>
      <c r="C141" s="6" t="s">
        <v>440</v>
      </c>
      <c r="D141" s="8">
        <v>26.3</v>
      </c>
      <c r="E141" s="8">
        <v>25.6</v>
      </c>
      <c r="F141" s="8">
        <v>25.3</v>
      </c>
      <c r="G141" s="8">
        <v>23.8</v>
      </c>
      <c r="H141" s="8">
        <v>21.4</v>
      </c>
      <c r="I141" s="8">
        <v>21.2</v>
      </c>
      <c r="J141" s="8">
        <v>20.5</v>
      </c>
      <c r="K141" s="8">
        <v>19.5</v>
      </c>
      <c r="L141" s="8">
        <v>18.8</v>
      </c>
      <c r="M141" s="8">
        <v>17.8</v>
      </c>
      <c r="N141" s="10">
        <f t="shared" si="4"/>
        <v>-0.32319391634980987</v>
      </c>
    </row>
    <row r="142" spans="1:14" x14ac:dyDescent="0.2">
      <c r="A142" s="6">
        <v>138</v>
      </c>
      <c r="B142" s="7" t="s">
        <v>442</v>
      </c>
      <c r="C142" s="6" t="s">
        <v>443</v>
      </c>
      <c r="D142" s="8">
        <v>25.8</v>
      </c>
      <c r="E142" s="8">
        <v>27.3</v>
      </c>
      <c r="F142" s="8">
        <v>27.6</v>
      </c>
      <c r="G142" s="8">
        <v>27.6</v>
      </c>
      <c r="H142" s="8">
        <v>27.6</v>
      </c>
      <c r="I142" s="8">
        <v>27.6</v>
      </c>
      <c r="J142" s="8">
        <v>27.6</v>
      </c>
      <c r="K142" s="8">
        <v>27.6</v>
      </c>
      <c r="L142" s="8">
        <v>27.6</v>
      </c>
      <c r="M142" s="8">
        <v>27.7</v>
      </c>
      <c r="N142" s="10">
        <f t="shared" si="4"/>
        <v>7.3643410852713087E-2</v>
      </c>
    </row>
    <row r="143" spans="1:14" x14ac:dyDescent="0.2">
      <c r="A143" s="6">
        <v>139</v>
      </c>
      <c r="B143" s="7" t="s">
        <v>445</v>
      </c>
      <c r="C143" s="6" t="s">
        <v>446</v>
      </c>
      <c r="D143" s="8">
        <v>8.32</v>
      </c>
      <c r="E143" s="8">
        <v>8.31</v>
      </c>
      <c r="F143" s="8">
        <v>8.66</v>
      </c>
      <c r="G143" s="8">
        <v>9.2100000000000009</v>
      </c>
      <c r="H143" s="8">
        <v>8.23</v>
      </c>
      <c r="I143" s="8">
        <v>9.52</v>
      </c>
      <c r="J143" s="8">
        <v>9.86</v>
      </c>
      <c r="K143" s="8">
        <v>9.83</v>
      </c>
      <c r="L143" s="8">
        <v>9.8699999999999992</v>
      </c>
      <c r="M143" s="8">
        <v>9.9600000000000009</v>
      </c>
      <c r="N143" s="10">
        <f t="shared" si="4"/>
        <v>0.19711538461538458</v>
      </c>
    </row>
    <row r="144" spans="1:14" ht="30" x14ac:dyDescent="0.2">
      <c r="A144" s="6">
        <v>140</v>
      </c>
      <c r="B144" s="7" t="s">
        <v>448</v>
      </c>
      <c r="C144" s="6" t="s">
        <v>449</v>
      </c>
      <c r="D144" s="8">
        <v>22.5</v>
      </c>
      <c r="E144" s="8">
        <v>22.4</v>
      </c>
      <c r="F144" s="8">
        <v>22.5</v>
      </c>
      <c r="G144" s="8">
        <v>22.5</v>
      </c>
      <c r="H144" s="8">
        <v>22.6</v>
      </c>
      <c r="I144" s="8">
        <v>22.7</v>
      </c>
      <c r="J144" s="8">
        <v>22.8</v>
      </c>
      <c r="K144" s="8">
        <v>22.9</v>
      </c>
      <c r="L144" s="8">
        <v>23.1</v>
      </c>
      <c r="M144" s="8">
        <v>23.3</v>
      </c>
      <c r="N144" s="10">
        <f t="shared" si="4"/>
        <v>3.5555555555555562E-2</v>
      </c>
    </row>
    <row r="145" spans="1:14" x14ac:dyDescent="0.2">
      <c r="A145" s="6">
        <v>141</v>
      </c>
      <c r="B145" s="7" t="s">
        <v>451</v>
      </c>
      <c r="C145" s="6" t="s">
        <v>452</v>
      </c>
      <c r="D145" s="8">
        <v>23.6</v>
      </c>
      <c r="E145" s="8">
        <v>23.5</v>
      </c>
      <c r="F145" s="8">
        <v>23.4</v>
      </c>
      <c r="G145" s="8">
        <v>23.4</v>
      </c>
      <c r="H145" s="8">
        <v>24</v>
      </c>
      <c r="I145" s="8">
        <v>28</v>
      </c>
      <c r="J145" s="8">
        <v>27</v>
      </c>
      <c r="K145" s="8">
        <v>27.1</v>
      </c>
      <c r="L145" s="8">
        <v>27.1</v>
      </c>
      <c r="M145" s="8">
        <v>27.1</v>
      </c>
      <c r="N145" s="10">
        <f t="shared" si="4"/>
        <v>0.14830508474576276</v>
      </c>
    </row>
    <row r="146" spans="1:14" x14ac:dyDescent="0.2">
      <c r="A146" s="6">
        <v>142</v>
      </c>
      <c r="B146" s="7" t="s">
        <v>454</v>
      </c>
      <c r="C146" s="6" t="s">
        <v>455</v>
      </c>
      <c r="D146" s="8">
        <v>32.799999999999997</v>
      </c>
      <c r="E146" s="8">
        <v>32.200000000000003</v>
      </c>
      <c r="F146" s="8">
        <v>32.299999999999997</v>
      </c>
      <c r="G146" s="8">
        <v>32.5</v>
      </c>
      <c r="H146" s="8">
        <v>32.4</v>
      </c>
      <c r="I146" s="8">
        <v>32.9</v>
      </c>
      <c r="J146" s="8">
        <v>32</v>
      </c>
      <c r="K146" s="8">
        <v>27.6</v>
      </c>
      <c r="L146" s="8">
        <v>28.1</v>
      </c>
      <c r="M146" s="8">
        <v>27.9</v>
      </c>
      <c r="N146" s="10">
        <f t="shared" si="4"/>
        <v>-0.14939024390243905</v>
      </c>
    </row>
    <row r="147" spans="1:14" x14ac:dyDescent="0.2">
      <c r="A147" s="6">
        <v>143</v>
      </c>
      <c r="B147" s="7" t="s">
        <v>457</v>
      </c>
      <c r="C147" s="6" t="s">
        <v>458</v>
      </c>
      <c r="D147" s="8">
        <v>172.4</v>
      </c>
      <c r="E147" s="8">
        <v>284.60000000000002</v>
      </c>
      <c r="F147" s="8">
        <v>322.10000000000002</v>
      </c>
      <c r="G147" s="8">
        <v>288.5</v>
      </c>
      <c r="H147" s="8">
        <v>263.8</v>
      </c>
      <c r="I147" s="8">
        <v>257.8</v>
      </c>
      <c r="J147" s="8">
        <v>246.7</v>
      </c>
      <c r="K147" s="8">
        <v>221.5</v>
      </c>
      <c r="L147" s="8">
        <v>203.2</v>
      </c>
      <c r="M147" s="8">
        <v>195.8</v>
      </c>
      <c r="N147" s="10">
        <f t="shared" si="4"/>
        <v>0.13573085846867761</v>
      </c>
    </row>
    <row r="148" spans="1:14" x14ac:dyDescent="0.2">
      <c r="A148" s="6">
        <v>144</v>
      </c>
      <c r="B148" s="7" t="s">
        <v>460</v>
      </c>
      <c r="C148" s="6" t="s">
        <v>461</v>
      </c>
      <c r="D148" s="8">
        <v>19.100000000000001</v>
      </c>
      <c r="E148" s="8">
        <v>19.2</v>
      </c>
      <c r="F148" s="8">
        <v>19.3</v>
      </c>
      <c r="G148" s="8">
        <v>19.3</v>
      </c>
      <c r="H148" s="8">
        <v>19.399999999999999</v>
      </c>
      <c r="I148" s="8">
        <v>19.600000000000001</v>
      </c>
      <c r="J148" s="8">
        <v>19.600000000000001</v>
      </c>
      <c r="K148" s="8">
        <v>19.600000000000001</v>
      </c>
      <c r="L148" s="8">
        <v>19.600000000000001</v>
      </c>
      <c r="M148" s="8">
        <v>19.600000000000001</v>
      </c>
      <c r="N148" s="10">
        <f t="shared" si="4"/>
        <v>2.6178010471204161E-2</v>
      </c>
    </row>
    <row r="149" spans="1:14" x14ac:dyDescent="0.2">
      <c r="A149" s="6">
        <v>145</v>
      </c>
      <c r="B149" s="7" t="s">
        <v>463</v>
      </c>
      <c r="C149" s="6" t="s">
        <v>464</v>
      </c>
      <c r="D149" s="8">
        <v>94.4</v>
      </c>
      <c r="E149" s="8">
        <v>100.8</v>
      </c>
      <c r="F149" s="8">
        <v>101.7</v>
      </c>
      <c r="G149" s="8">
        <v>93.2</v>
      </c>
      <c r="H149" s="8">
        <v>79.900000000000006</v>
      </c>
      <c r="I149" s="8">
        <v>75.099999999999994</v>
      </c>
      <c r="J149" s="8">
        <v>70.7</v>
      </c>
      <c r="K149" s="8">
        <v>65.099999999999994</v>
      </c>
      <c r="L149" s="8">
        <v>66.099999999999994</v>
      </c>
      <c r="M149" s="8">
        <v>69.099999999999994</v>
      </c>
      <c r="N149" s="10">
        <f t="shared" si="4"/>
        <v>-0.2680084745762713</v>
      </c>
    </row>
    <row r="150" spans="1:14" x14ac:dyDescent="0.2">
      <c r="A150" s="6">
        <v>146</v>
      </c>
      <c r="B150" s="7" t="s">
        <v>466</v>
      </c>
      <c r="C150" s="6" t="s">
        <v>467</v>
      </c>
      <c r="D150" s="8">
        <v>4.0199999999999996</v>
      </c>
      <c r="E150" s="8">
        <v>4</v>
      </c>
      <c r="F150" s="8">
        <v>3.88</v>
      </c>
      <c r="G150" s="8">
        <v>3.75</v>
      </c>
      <c r="H150" s="8">
        <v>3.63</v>
      </c>
      <c r="I150" s="8">
        <v>3.59</v>
      </c>
      <c r="J150" s="8">
        <v>3.4</v>
      </c>
      <c r="K150" s="8">
        <v>3.31</v>
      </c>
      <c r="L150" s="8">
        <v>3.28</v>
      </c>
      <c r="M150" s="8">
        <v>3.27</v>
      </c>
      <c r="N150" s="10">
        <f t="shared" si="4"/>
        <v>-0.18656716417910435</v>
      </c>
    </row>
    <row r="151" spans="1:14" x14ac:dyDescent="0.2">
      <c r="A151" s="6">
        <v>147</v>
      </c>
      <c r="B151" s="7" t="s">
        <v>469</v>
      </c>
      <c r="C151" s="6" t="s">
        <v>470</v>
      </c>
      <c r="D151" s="8">
        <v>23.7</v>
      </c>
      <c r="E151" s="8">
        <v>23.8</v>
      </c>
      <c r="F151" s="8">
        <v>24</v>
      </c>
      <c r="G151" s="8">
        <v>24</v>
      </c>
      <c r="H151" s="8">
        <v>24.1</v>
      </c>
      <c r="I151" s="8">
        <v>24.2</v>
      </c>
      <c r="J151" s="8">
        <v>24.1</v>
      </c>
      <c r="K151" s="8">
        <v>24.1</v>
      </c>
      <c r="L151" s="8">
        <v>24.1</v>
      </c>
      <c r="M151" s="8">
        <v>24.2</v>
      </c>
      <c r="N151" s="10">
        <f t="shared" si="4"/>
        <v>2.1097046413502074E-2</v>
      </c>
    </row>
    <row r="152" spans="1:14" x14ac:dyDescent="0.2">
      <c r="A152" s="6">
        <v>148</v>
      </c>
      <c r="B152" s="7" t="s">
        <v>472</v>
      </c>
      <c r="C152" s="6" t="s">
        <v>473</v>
      </c>
      <c r="D152" s="8">
        <v>21.1</v>
      </c>
      <c r="E152" s="8">
        <v>22</v>
      </c>
      <c r="F152" s="8">
        <v>21.3</v>
      </c>
      <c r="G152" s="8">
        <v>21.1</v>
      </c>
      <c r="H152" s="8">
        <v>21.4</v>
      </c>
      <c r="I152" s="8">
        <v>21.9</v>
      </c>
      <c r="J152" s="8">
        <v>21.3</v>
      </c>
      <c r="K152" s="8">
        <v>21.5</v>
      </c>
      <c r="L152" s="8">
        <v>21.3</v>
      </c>
      <c r="M152" s="8">
        <v>20.399999999999999</v>
      </c>
      <c r="N152" s="10">
        <f t="shared" si="4"/>
        <v>-3.3175355450237087E-2</v>
      </c>
    </row>
    <row r="153" spans="1:14" ht="30" x14ac:dyDescent="0.2">
      <c r="A153" s="6">
        <v>149</v>
      </c>
      <c r="B153" s="7" t="s">
        <v>475</v>
      </c>
      <c r="C153" s="6" t="s">
        <v>476</v>
      </c>
      <c r="D153" s="8">
        <v>3.86</v>
      </c>
      <c r="E153" s="8">
        <v>3.86</v>
      </c>
      <c r="F153" s="8">
        <v>3.86</v>
      </c>
      <c r="G153" s="8">
        <v>3.86</v>
      </c>
      <c r="H153" s="8">
        <v>3.86</v>
      </c>
      <c r="I153" s="8">
        <v>3.78</v>
      </c>
      <c r="J153" s="8">
        <v>3.76</v>
      </c>
      <c r="K153" s="8">
        <v>3.7</v>
      </c>
      <c r="L153" s="8">
        <v>3.67</v>
      </c>
      <c r="M153" s="8">
        <v>3.75</v>
      </c>
      <c r="N153" s="10">
        <f t="shared" si="4"/>
        <v>-2.8497409326424861E-2</v>
      </c>
    </row>
    <row r="154" spans="1:14" ht="30" x14ac:dyDescent="0.2">
      <c r="A154" s="6">
        <v>150</v>
      </c>
      <c r="B154" s="7" t="s">
        <v>478</v>
      </c>
      <c r="C154" s="6" t="s">
        <v>479</v>
      </c>
      <c r="D154" s="8">
        <v>14.9</v>
      </c>
      <c r="E154" s="8">
        <v>14.9</v>
      </c>
      <c r="F154" s="8">
        <v>14.9</v>
      </c>
      <c r="G154" s="8">
        <v>14.7</v>
      </c>
      <c r="H154" s="8">
        <v>14.6</v>
      </c>
      <c r="I154" s="8">
        <v>14.3</v>
      </c>
      <c r="J154" s="8">
        <v>13.8</v>
      </c>
      <c r="K154" s="8">
        <v>13.8</v>
      </c>
      <c r="L154" s="8">
        <v>13.8</v>
      </c>
      <c r="M154" s="8">
        <v>13.5</v>
      </c>
      <c r="N154" s="10">
        <f t="shared" si="4"/>
        <v>-9.3959731543624136E-2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309"/>
  <sheetViews>
    <sheetView zoomScaleNormal="100" workbookViewId="0">
      <pane xSplit="3" ySplit="5" topLeftCell="D6" activePane="bottomRight" state="frozen"/>
      <selection pane="topRight" activeCell="D1" sqref="D1"/>
      <selection pane="bottomLeft" activeCell="A6" sqref="A6"/>
      <selection pane="bottomRight"/>
    </sheetView>
  </sheetViews>
  <sheetFormatPr baseColWidth="10" defaultColWidth="8.6640625" defaultRowHeight="15" customHeight="1" x14ac:dyDescent="0.2"/>
  <cols>
    <col min="1" max="1" width="5" customWidth="1"/>
    <col min="2" max="2" width="32" customWidth="1"/>
    <col min="3" max="3" width="14" customWidth="1"/>
    <col min="4" max="13" width="11" customWidth="1"/>
  </cols>
  <sheetData>
    <row r="2" spans="1:13" ht="21" x14ac:dyDescent="0.25">
      <c r="B2" s="1" t="s">
        <v>1104</v>
      </c>
    </row>
    <row r="4" spans="1:13" ht="16" x14ac:dyDescent="0.2">
      <c r="B4" s="3" t="s">
        <v>1105</v>
      </c>
    </row>
    <row r="5" spans="1:13" ht="27.75" customHeight="1" x14ac:dyDescent="0.2">
      <c r="A5" s="5" t="s">
        <v>8</v>
      </c>
      <c r="B5" s="5" t="s">
        <v>9</v>
      </c>
      <c r="C5" s="5" t="s">
        <v>10</v>
      </c>
      <c r="D5" s="5" t="s">
        <v>1091</v>
      </c>
      <c r="E5" s="5" t="s">
        <v>1092</v>
      </c>
      <c r="F5" s="5" t="s">
        <v>1093</v>
      </c>
      <c r="G5" s="5" t="s">
        <v>1094</v>
      </c>
      <c r="H5" s="5" t="s">
        <v>1095</v>
      </c>
      <c r="I5" s="5" t="s">
        <v>1096</v>
      </c>
      <c r="J5" s="5" t="s">
        <v>1097</v>
      </c>
      <c r="K5" s="5" t="s">
        <v>1098</v>
      </c>
      <c r="L5" s="5" t="s">
        <v>1099</v>
      </c>
      <c r="M5" s="5" t="s">
        <v>1100</v>
      </c>
    </row>
    <row r="6" spans="1:13" x14ac:dyDescent="0.2">
      <c r="A6" s="6">
        <v>1</v>
      </c>
      <c r="B6" s="7" t="s">
        <v>25</v>
      </c>
      <c r="C6" s="6" t="s">
        <v>26</v>
      </c>
      <c r="D6" s="8">
        <v>32.6</v>
      </c>
      <c r="E6" s="8">
        <v>16.7</v>
      </c>
      <c r="F6" s="8">
        <v>54.7</v>
      </c>
      <c r="G6" s="8">
        <v>20.100000000000001</v>
      </c>
      <c r="H6" s="8">
        <v>71.8</v>
      </c>
      <c r="I6" s="8">
        <v>91.9</v>
      </c>
      <c r="J6" s="8">
        <v>76.099999999999994</v>
      </c>
      <c r="K6" s="8">
        <v>110.3</v>
      </c>
      <c r="L6" s="8">
        <v>35.9</v>
      </c>
      <c r="M6" s="8">
        <v>45.5</v>
      </c>
    </row>
    <row r="7" spans="1:13" x14ac:dyDescent="0.2">
      <c r="A7" s="6">
        <v>2</v>
      </c>
      <c r="B7" s="7" t="s">
        <v>30</v>
      </c>
      <c r="C7" s="6" t="s">
        <v>31</v>
      </c>
      <c r="D7" s="8">
        <v>12.9</v>
      </c>
      <c r="E7" s="8">
        <v>7.62</v>
      </c>
      <c r="F7" s="8">
        <v>22.5</v>
      </c>
      <c r="G7" s="8">
        <v>20.7</v>
      </c>
      <c r="H7" s="8">
        <v>24.5</v>
      </c>
      <c r="I7" s="8">
        <v>41.7</v>
      </c>
      <c r="J7" s="8">
        <v>43.6</v>
      </c>
      <c r="K7" s="8">
        <v>38.5</v>
      </c>
      <c r="L7" s="8">
        <v>46.7</v>
      </c>
      <c r="M7" s="8">
        <v>54.8</v>
      </c>
    </row>
    <row r="8" spans="1:13" x14ac:dyDescent="0.2">
      <c r="A8" s="6">
        <v>3</v>
      </c>
      <c r="B8" s="7" t="s">
        <v>34</v>
      </c>
      <c r="C8" s="6" t="s">
        <v>35</v>
      </c>
      <c r="D8" s="8">
        <v>40.5</v>
      </c>
      <c r="E8" s="8">
        <v>38.4</v>
      </c>
      <c r="F8" s="8">
        <v>72</v>
      </c>
      <c r="G8" s="8">
        <v>58.4</v>
      </c>
      <c r="H8" s="8">
        <v>-28.6</v>
      </c>
      <c r="I8" s="8">
        <v>66.900000000000006</v>
      </c>
      <c r="J8" s="8">
        <v>55.3</v>
      </c>
      <c r="K8" s="8">
        <v>76.7</v>
      </c>
      <c r="L8" s="8">
        <v>17.3</v>
      </c>
      <c r="M8" s="8">
        <v>85.2</v>
      </c>
    </row>
    <row r="9" spans="1:13" x14ac:dyDescent="0.2">
      <c r="A9" s="6">
        <v>4</v>
      </c>
      <c r="B9" s="7" t="s">
        <v>39</v>
      </c>
      <c r="C9" s="6" t="s">
        <v>40</v>
      </c>
      <c r="D9" s="8">
        <v>17.8</v>
      </c>
      <c r="E9" s="8">
        <v>27.7</v>
      </c>
      <c r="F9" s="8">
        <v>55.8</v>
      </c>
      <c r="G9" s="8">
        <v>77.900000000000006</v>
      </c>
      <c r="H9" s="8">
        <v>102.9</v>
      </c>
      <c r="I9" s="8">
        <v>164</v>
      </c>
      <c r="J9" s="8">
        <v>143.6</v>
      </c>
      <c r="K9" s="8">
        <v>99.4</v>
      </c>
      <c r="L9" s="8">
        <v>2.09</v>
      </c>
      <c r="M9" s="8">
        <v>-18.7</v>
      </c>
    </row>
    <row r="10" spans="1:13" x14ac:dyDescent="0.2">
      <c r="A10" s="6">
        <v>5</v>
      </c>
      <c r="B10" s="7" t="s">
        <v>42</v>
      </c>
      <c r="C10" s="6" t="s">
        <v>43</v>
      </c>
      <c r="D10" s="8">
        <v>5.85</v>
      </c>
      <c r="E10" s="8">
        <v>4.05</v>
      </c>
      <c r="F10" s="8">
        <v>4.5999999999999996</v>
      </c>
      <c r="G10" s="8">
        <v>5.51</v>
      </c>
      <c r="H10" s="8">
        <v>8.1</v>
      </c>
      <c r="I10" s="8">
        <v>13.7</v>
      </c>
      <c r="J10" s="8">
        <v>3.04</v>
      </c>
      <c r="K10" s="8">
        <v>17.8</v>
      </c>
      <c r="L10" s="8">
        <v>10</v>
      </c>
      <c r="M10" s="8">
        <v>10.199999999999999</v>
      </c>
    </row>
    <row r="11" spans="1:13" ht="30" x14ac:dyDescent="0.2">
      <c r="A11" s="6">
        <v>6</v>
      </c>
      <c r="B11" s="7" t="s">
        <v>45</v>
      </c>
      <c r="C11" s="6" t="s">
        <v>46</v>
      </c>
      <c r="D11" s="8">
        <v>9.82</v>
      </c>
      <c r="E11" s="8">
        <v>3.65</v>
      </c>
      <c r="F11" s="8">
        <v>-5.74</v>
      </c>
      <c r="G11" s="8">
        <v>48.9</v>
      </c>
      <c r="H11" s="8">
        <v>1.4</v>
      </c>
      <c r="I11" s="8">
        <v>62.1</v>
      </c>
      <c r="J11" s="8">
        <v>91.4</v>
      </c>
      <c r="K11" s="8">
        <v>137.5</v>
      </c>
      <c r="L11" s="8">
        <v>159.5</v>
      </c>
      <c r="M11" s="8">
        <v>98.1</v>
      </c>
    </row>
    <row r="12" spans="1:13" x14ac:dyDescent="0.2">
      <c r="A12" s="6">
        <v>7</v>
      </c>
      <c r="B12" s="7" t="s">
        <v>48</v>
      </c>
      <c r="C12" s="6" t="s">
        <v>49</v>
      </c>
      <c r="D12" s="8">
        <v>26.7</v>
      </c>
      <c r="E12" s="8">
        <v>51.5</v>
      </c>
      <c r="F12" s="8">
        <v>104.6</v>
      </c>
      <c r="G12" s="8">
        <v>120.9</v>
      </c>
      <c r="H12" s="8">
        <v>54.2</v>
      </c>
      <c r="I12" s="8">
        <v>84.3</v>
      </c>
      <c r="J12" s="8">
        <v>49.3</v>
      </c>
      <c r="K12" s="8">
        <v>38.1</v>
      </c>
      <c r="L12" s="8">
        <v>50.4</v>
      </c>
      <c r="M12" s="8">
        <v>15.7</v>
      </c>
    </row>
    <row r="13" spans="1:13" x14ac:dyDescent="0.2">
      <c r="A13" s="6">
        <v>8</v>
      </c>
      <c r="B13" s="7" t="s">
        <v>51</v>
      </c>
      <c r="C13" s="6" t="s">
        <v>52</v>
      </c>
      <c r="D13" s="8">
        <v>5.21</v>
      </c>
      <c r="E13" s="8">
        <v>6.14</v>
      </c>
      <c r="F13" s="8">
        <v>8.76</v>
      </c>
      <c r="G13" s="8">
        <v>9.11</v>
      </c>
      <c r="H13" s="8">
        <v>9.75</v>
      </c>
      <c r="I13" s="8">
        <v>10.3</v>
      </c>
      <c r="J13" s="8">
        <v>10.7</v>
      </c>
      <c r="K13" s="8">
        <v>10.7</v>
      </c>
      <c r="L13" s="8">
        <v>8.2200000000000006</v>
      </c>
      <c r="M13" s="8">
        <v>-64.2</v>
      </c>
    </row>
    <row r="14" spans="1:13" x14ac:dyDescent="0.2">
      <c r="A14" s="6">
        <v>9</v>
      </c>
      <c r="B14" s="7" t="s">
        <v>55</v>
      </c>
      <c r="C14" s="6" t="s">
        <v>56</v>
      </c>
      <c r="D14" s="8">
        <v>17.100000000000001</v>
      </c>
      <c r="E14" s="8">
        <v>15.8</v>
      </c>
      <c r="F14" s="8">
        <v>16.3</v>
      </c>
      <c r="G14" s="8">
        <v>17.3</v>
      </c>
      <c r="H14" s="8">
        <v>18</v>
      </c>
      <c r="I14" s="8">
        <v>14</v>
      </c>
      <c r="J14" s="8">
        <v>14.4</v>
      </c>
      <c r="K14" s="8">
        <v>18.399999999999999</v>
      </c>
      <c r="L14" s="8">
        <v>17.100000000000001</v>
      </c>
      <c r="M14" s="8">
        <v>12.5</v>
      </c>
    </row>
    <row r="15" spans="1:13" x14ac:dyDescent="0.2">
      <c r="A15" s="6">
        <v>10</v>
      </c>
      <c r="B15" s="7" t="s">
        <v>58</v>
      </c>
      <c r="C15" s="6" t="s">
        <v>59</v>
      </c>
      <c r="D15" s="8">
        <v>3.76</v>
      </c>
      <c r="E15" s="8">
        <v>10</v>
      </c>
      <c r="F15" s="8">
        <v>32.200000000000003</v>
      </c>
      <c r="G15" s="8">
        <v>15.8</v>
      </c>
      <c r="H15" s="8">
        <v>14.1</v>
      </c>
      <c r="I15" s="8">
        <v>5.85</v>
      </c>
      <c r="J15" s="8">
        <v>12.1</v>
      </c>
      <c r="K15" s="8">
        <v>15.2</v>
      </c>
      <c r="L15" s="8">
        <v>20</v>
      </c>
      <c r="M15" s="8">
        <v>18.3</v>
      </c>
    </row>
    <row r="16" spans="1:13" x14ac:dyDescent="0.2">
      <c r="A16" s="6">
        <v>11</v>
      </c>
      <c r="B16" s="7" t="s">
        <v>61</v>
      </c>
      <c r="C16" s="6" t="s">
        <v>62</v>
      </c>
      <c r="D16" s="8">
        <v>0.58399999999999996</v>
      </c>
      <c r="E16" s="8">
        <v>0.71599999999999997</v>
      </c>
      <c r="F16" s="8">
        <v>0.873</v>
      </c>
      <c r="G16" s="8">
        <v>0.98699999999999999</v>
      </c>
      <c r="H16" s="8">
        <v>-0.82</v>
      </c>
      <c r="I16" s="8">
        <v>1.02</v>
      </c>
      <c r="J16" s="8">
        <v>1.02</v>
      </c>
      <c r="K16" s="8">
        <v>1.1599999999999999</v>
      </c>
      <c r="L16" s="8">
        <v>1.5</v>
      </c>
      <c r="M16" s="8">
        <v>1.77</v>
      </c>
    </row>
    <row r="17" spans="1:13" ht="30" x14ac:dyDescent="0.2">
      <c r="A17" s="6">
        <v>12</v>
      </c>
      <c r="B17" s="7" t="s">
        <v>64</v>
      </c>
      <c r="C17" s="6" t="s">
        <v>65</v>
      </c>
      <c r="D17" s="8">
        <v>0.50900000000000001</v>
      </c>
      <c r="E17" s="8">
        <v>3.64</v>
      </c>
      <c r="F17" s="8">
        <v>2.76</v>
      </c>
      <c r="G17" s="8">
        <v>3.66</v>
      </c>
      <c r="H17" s="8">
        <v>6.06</v>
      </c>
      <c r="I17" s="8">
        <v>6.09</v>
      </c>
      <c r="J17" s="8">
        <v>8.8699999999999992</v>
      </c>
      <c r="K17" s="8">
        <v>14.2</v>
      </c>
      <c r="L17" s="8">
        <v>12.8</v>
      </c>
      <c r="M17" s="8">
        <v>10.5</v>
      </c>
    </row>
    <row r="18" spans="1:13" ht="30" x14ac:dyDescent="0.2">
      <c r="A18" s="6">
        <v>13</v>
      </c>
      <c r="B18" s="7" t="s">
        <v>67</v>
      </c>
      <c r="C18" s="6" t="s">
        <v>68</v>
      </c>
      <c r="D18" s="8">
        <v>-4.62</v>
      </c>
      <c r="E18" s="8">
        <v>18.5</v>
      </c>
      <c r="F18" s="8">
        <v>28.5</v>
      </c>
      <c r="G18" s="8">
        <v>12.7</v>
      </c>
      <c r="H18" s="8">
        <v>-1.71</v>
      </c>
      <c r="I18" s="8">
        <v>-7.4</v>
      </c>
      <c r="J18" s="8">
        <v>42.4</v>
      </c>
      <c r="K18" s="8">
        <v>35.6</v>
      </c>
      <c r="L18" s="8">
        <v>59</v>
      </c>
      <c r="M18" s="8">
        <v>25.2</v>
      </c>
    </row>
    <row r="19" spans="1:13" x14ac:dyDescent="0.2">
      <c r="A19" s="6">
        <v>14</v>
      </c>
      <c r="B19" s="7" t="s">
        <v>70</v>
      </c>
      <c r="C19" s="6" t="s">
        <v>71</v>
      </c>
      <c r="D19" s="8">
        <v>59.9</v>
      </c>
      <c r="E19" s="8">
        <v>51</v>
      </c>
      <c r="F19" s="8">
        <v>73.7</v>
      </c>
      <c r="G19" s="8">
        <v>69.8</v>
      </c>
      <c r="H19" s="8">
        <v>-68.099999999999994</v>
      </c>
      <c r="I19" s="8">
        <v>93.7</v>
      </c>
      <c r="J19" s="8">
        <v>159.1</v>
      </c>
      <c r="K19" s="8">
        <v>152.80000000000001</v>
      </c>
      <c r="L19" s="8">
        <v>15</v>
      </c>
      <c r="M19" s="8">
        <v>-2.92</v>
      </c>
    </row>
    <row r="20" spans="1:13" x14ac:dyDescent="0.2">
      <c r="A20" s="6">
        <v>15</v>
      </c>
      <c r="B20" s="7" t="s">
        <v>73</v>
      </c>
      <c r="C20" s="6" t="s">
        <v>74</v>
      </c>
      <c r="D20" s="8">
        <v>176.4</v>
      </c>
      <c r="E20" s="8">
        <v>224.4</v>
      </c>
      <c r="F20" s="8">
        <v>38.799999999999997</v>
      </c>
      <c r="G20" s="8">
        <v>-445.3</v>
      </c>
      <c r="H20" s="8">
        <v>-789.1</v>
      </c>
      <c r="I20" s="8">
        <v>10.8</v>
      </c>
      <c r="J20" s="8">
        <v>17.2</v>
      </c>
      <c r="K20" s="8">
        <v>118.4</v>
      </c>
      <c r="L20" s="8">
        <v>48.2</v>
      </c>
      <c r="M20" s="8">
        <v>20.100000000000001</v>
      </c>
    </row>
    <row r="21" spans="1:13" x14ac:dyDescent="0.2">
      <c r="A21" s="6">
        <v>16</v>
      </c>
      <c r="B21" s="7" t="s">
        <v>76</v>
      </c>
      <c r="C21" s="6" t="s">
        <v>77</v>
      </c>
      <c r="D21" s="8">
        <v>2.86</v>
      </c>
      <c r="E21" s="8">
        <v>-39.4</v>
      </c>
      <c r="F21" s="8">
        <v>-45.3</v>
      </c>
      <c r="G21" s="8">
        <v>54.3</v>
      </c>
      <c r="H21" s="8">
        <v>-20</v>
      </c>
      <c r="I21" s="8">
        <v>5.4</v>
      </c>
      <c r="J21" s="8">
        <v>12.5</v>
      </c>
      <c r="K21" s="8">
        <v>30.7</v>
      </c>
      <c r="L21" s="8">
        <v>34</v>
      </c>
      <c r="M21" s="8">
        <v>64.3</v>
      </c>
    </row>
    <row r="22" spans="1:13" x14ac:dyDescent="0.2">
      <c r="A22" s="6">
        <v>17</v>
      </c>
      <c r="B22" s="7" t="s">
        <v>79</v>
      </c>
      <c r="C22" s="6" t="s">
        <v>80</v>
      </c>
      <c r="D22" s="8">
        <v>120</v>
      </c>
      <c r="E22" s="8">
        <v>-19</v>
      </c>
      <c r="F22" s="8">
        <v>113</v>
      </c>
      <c r="G22" s="8">
        <v>126</v>
      </c>
      <c r="H22" s="8">
        <v>-289</v>
      </c>
      <c r="I22" s="8">
        <v>-148</v>
      </c>
      <c r="J22" s="8">
        <v>20</v>
      </c>
      <c r="K22" s="8">
        <v>10</v>
      </c>
      <c r="L22" s="8">
        <v>5</v>
      </c>
      <c r="M22" s="8">
        <v>40</v>
      </c>
    </row>
    <row r="23" spans="1:13" ht="30" x14ac:dyDescent="0.2">
      <c r="A23" s="6">
        <v>18</v>
      </c>
      <c r="B23" s="7" t="s">
        <v>82</v>
      </c>
      <c r="C23" s="6" t="s">
        <v>83</v>
      </c>
      <c r="D23" s="8">
        <v>74.599999999999994</v>
      </c>
      <c r="E23" s="8">
        <v>64.7</v>
      </c>
      <c r="F23" s="8">
        <v>60.8</v>
      </c>
      <c r="G23" s="8">
        <v>50.2</v>
      </c>
      <c r="H23" s="8">
        <v>133.9</v>
      </c>
      <c r="I23" s="8">
        <v>169.1</v>
      </c>
      <c r="J23" s="8">
        <v>180.6</v>
      </c>
      <c r="K23" s="8">
        <v>67.7</v>
      </c>
      <c r="L23" s="8">
        <v>-6.94</v>
      </c>
      <c r="M23" s="8">
        <v>-516.5</v>
      </c>
    </row>
    <row r="24" spans="1:13" x14ac:dyDescent="0.2">
      <c r="A24" s="6">
        <v>19</v>
      </c>
      <c r="B24" s="7" t="s">
        <v>85</v>
      </c>
      <c r="C24" s="6" t="s">
        <v>86</v>
      </c>
      <c r="D24" s="8">
        <v>-105.2</v>
      </c>
      <c r="E24" s="8">
        <v>6.65</v>
      </c>
      <c r="F24" s="8">
        <v>8.49</v>
      </c>
      <c r="G24" s="8">
        <v>173.5</v>
      </c>
      <c r="H24" s="8">
        <v>208.1</v>
      </c>
      <c r="I24" s="8">
        <v>134.9</v>
      </c>
      <c r="J24" s="8">
        <v>12.4</v>
      </c>
      <c r="K24" s="8">
        <v>-5.18</v>
      </c>
      <c r="L24" s="8">
        <v>123.5</v>
      </c>
      <c r="M24" s="8">
        <v>73.2</v>
      </c>
    </row>
    <row r="25" spans="1:13" x14ac:dyDescent="0.2">
      <c r="A25" s="6">
        <v>20</v>
      </c>
      <c r="B25" s="7" t="s">
        <v>88</v>
      </c>
      <c r="C25" s="6" t="s">
        <v>89</v>
      </c>
      <c r="D25" s="8">
        <v>2.25</v>
      </c>
      <c r="E25" s="8">
        <v>3.58</v>
      </c>
      <c r="F25" s="8">
        <v>4.78</v>
      </c>
      <c r="G25" s="8">
        <v>3.96</v>
      </c>
      <c r="H25" s="8">
        <v>4.09</v>
      </c>
      <c r="I25" s="8">
        <v>4.1500000000000004</v>
      </c>
      <c r="J25" s="8">
        <v>3.01</v>
      </c>
      <c r="K25" s="8">
        <v>2.52</v>
      </c>
      <c r="L25" s="8">
        <v>3.49</v>
      </c>
      <c r="M25" s="8">
        <v>1.96</v>
      </c>
    </row>
    <row r="26" spans="1:13" ht="30" x14ac:dyDescent="0.2">
      <c r="A26" s="6">
        <v>21</v>
      </c>
      <c r="B26" s="7" t="s">
        <v>91</v>
      </c>
      <c r="C26" s="6" t="s">
        <v>92</v>
      </c>
      <c r="D26" s="8">
        <v>14.1</v>
      </c>
      <c r="E26" s="8">
        <v>62.2</v>
      </c>
      <c r="F26" s="8">
        <v>43.2</v>
      </c>
      <c r="G26" s="8">
        <v>66.900000000000006</v>
      </c>
      <c r="H26" s="8">
        <v>9.75</v>
      </c>
      <c r="I26" s="8">
        <v>3.35</v>
      </c>
      <c r="J26" s="8">
        <v>5.44</v>
      </c>
      <c r="K26" s="8">
        <v>43.8</v>
      </c>
      <c r="L26" s="8">
        <v>108.6</v>
      </c>
      <c r="M26" s="8">
        <v>113.8</v>
      </c>
    </row>
    <row r="27" spans="1:13" x14ac:dyDescent="0.2">
      <c r="A27" s="6">
        <v>22</v>
      </c>
      <c r="B27" s="7" t="s">
        <v>94</v>
      </c>
      <c r="C27" s="6" t="s">
        <v>95</v>
      </c>
      <c r="D27" s="8">
        <v>28.6</v>
      </c>
      <c r="E27" s="8">
        <v>21.9</v>
      </c>
      <c r="F27" s="8">
        <v>32.9</v>
      </c>
      <c r="G27" s="8">
        <v>40.799999999999997</v>
      </c>
      <c r="H27" s="8">
        <v>12</v>
      </c>
      <c r="I27" s="8">
        <v>141.69999999999999</v>
      </c>
      <c r="J27" s="8">
        <v>109</v>
      </c>
      <c r="K27" s="8">
        <v>79.400000000000006</v>
      </c>
      <c r="L27" s="8">
        <v>74.599999999999994</v>
      </c>
      <c r="M27" s="8">
        <v>57.9</v>
      </c>
    </row>
    <row r="28" spans="1:13" x14ac:dyDescent="0.2">
      <c r="A28" s="6">
        <v>23</v>
      </c>
      <c r="B28" s="7" t="s">
        <v>97</v>
      </c>
      <c r="C28" s="6" t="s">
        <v>98</v>
      </c>
      <c r="D28" s="8">
        <v>3.03</v>
      </c>
      <c r="E28" s="8">
        <v>3.88</v>
      </c>
      <c r="F28" s="8">
        <v>4.25</v>
      </c>
      <c r="G28" s="8">
        <v>3.68</v>
      </c>
      <c r="H28" s="8">
        <v>3.23</v>
      </c>
      <c r="I28" s="8">
        <v>4.01</v>
      </c>
      <c r="J28" s="8">
        <v>4.47</v>
      </c>
      <c r="K28" s="8">
        <v>4.59</v>
      </c>
      <c r="L28" s="8">
        <v>5.26</v>
      </c>
      <c r="M28" s="8">
        <v>6.2</v>
      </c>
    </row>
    <row r="29" spans="1:13" x14ac:dyDescent="0.2">
      <c r="A29" s="6">
        <v>24</v>
      </c>
      <c r="B29" s="7" t="s">
        <v>100</v>
      </c>
      <c r="C29" s="6" t="s">
        <v>101</v>
      </c>
      <c r="D29" s="8">
        <v>5.67</v>
      </c>
      <c r="E29" s="8">
        <v>3.38</v>
      </c>
      <c r="F29" s="8">
        <v>3.38</v>
      </c>
      <c r="G29" s="8">
        <v>2.41</v>
      </c>
      <c r="H29" s="8">
        <v>8.17</v>
      </c>
      <c r="I29" s="8">
        <v>15.5</v>
      </c>
      <c r="J29" s="8">
        <v>16.3</v>
      </c>
      <c r="K29" s="8">
        <v>10</v>
      </c>
      <c r="L29" s="8">
        <v>3.61</v>
      </c>
      <c r="M29" s="8">
        <v>1.01</v>
      </c>
    </row>
    <row r="30" spans="1:13" x14ac:dyDescent="0.2">
      <c r="A30" s="6">
        <v>25</v>
      </c>
      <c r="B30" s="7" t="s">
        <v>103</v>
      </c>
      <c r="C30" s="6" t="s">
        <v>104</v>
      </c>
      <c r="D30" s="8">
        <v>66</v>
      </c>
      <c r="E30" s="8">
        <v>84.4</v>
      </c>
      <c r="F30" s="8">
        <v>135.4</v>
      </c>
      <c r="G30" s="8">
        <v>151.1</v>
      </c>
      <c r="H30" s="8">
        <v>138.19999999999999</v>
      </c>
      <c r="I30" s="8">
        <v>124.1</v>
      </c>
      <c r="J30" s="8">
        <v>179</v>
      </c>
      <c r="K30" s="8">
        <v>171</v>
      </c>
      <c r="L30" s="8">
        <v>91</v>
      </c>
      <c r="M30" s="8">
        <v>-7</v>
      </c>
    </row>
    <row r="31" spans="1:13" ht="30" x14ac:dyDescent="0.2">
      <c r="A31" s="6">
        <v>26</v>
      </c>
      <c r="B31" s="7" t="s">
        <v>106</v>
      </c>
      <c r="C31" s="6" t="s">
        <v>107</v>
      </c>
      <c r="D31" s="8">
        <v>14.6</v>
      </c>
      <c r="E31" s="8">
        <v>15</v>
      </c>
      <c r="F31" s="8">
        <v>17</v>
      </c>
      <c r="G31" s="8">
        <v>12.1</v>
      </c>
      <c r="H31" s="8">
        <v>41</v>
      </c>
      <c r="I31" s="8">
        <v>29.4</v>
      </c>
      <c r="J31" s="8">
        <v>-32</v>
      </c>
      <c r="K31" s="8">
        <v>8.77</v>
      </c>
      <c r="L31" s="8">
        <v>12</v>
      </c>
      <c r="M31" s="8">
        <v>7</v>
      </c>
    </row>
    <row r="32" spans="1:13" x14ac:dyDescent="0.2">
      <c r="A32" s="6">
        <v>27</v>
      </c>
      <c r="B32" s="7" t="s">
        <v>109</v>
      </c>
      <c r="C32" s="6" t="s">
        <v>110</v>
      </c>
      <c r="D32" s="8">
        <v>24.8</v>
      </c>
      <c r="E32" s="8">
        <v>46.9</v>
      </c>
      <c r="F32" s="8">
        <v>37.299999999999997</v>
      </c>
      <c r="G32" s="8">
        <v>18.600000000000001</v>
      </c>
      <c r="H32" s="8">
        <v>36</v>
      </c>
      <c r="I32" s="8">
        <v>64.900000000000006</v>
      </c>
      <c r="J32" s="8">
        <v>88.6</v>
      </c>
      <c r="K32" s="8">
        <v>62.8</v>
      </c>
      <c r="L32" s="8">
        <v>63.7</v>
      </c>
      <c r="M32" s="8">
        <v>104.3</v>
      </c>
    </row>
    <row r="33" spans="1:13" ht="30" x14ac:dyDescent="0.2">
      <c r="A33" s="6">
        <v>28</v>
      </c>
      <c r="B33" s="7" t="s">
        <v>112</v>
      </c>
      <c r="C33" s="6" t="s">
        <v>113</v>
      </c>
      <c r="D33" s="8">
        <v>24.9</v>
      </c>
      <c r="E33" s="8">
        <v>15.9</v>
      </c>
      <c r="F33" s="8">
        <v>17.3</v>
      </c>
      <c r="G33" s="8">
        <v>10.199999999999999</v>
      </c>
      <c r="H33" s="8">
        <v>-18.5</v>
      </c>
      <c r="I33" s="8">
        <v>15.5</v>
      </c>
      <c r="J33" s="8">
        <v>41.7</v>
      </c>
      <c r="K33" s="8">
        <v>16.7</v>
      </c>
      <c r="L33" s="8">
        <v>1.76</v>
      </c>
      <c r="M33" s="8">
        <v>3.12</v>
      </c>
    </row>
    <row r="34" spans="1:13" x14ac:dyDescent="0.2">
      <c r="A34" s="6">
        <v>29</v>
      </c>
      <c r="B34" s="7" t="s">
        <v>115</v>
      </c>
      <c r="C34" s="6" t="s">
        <v>116</v>
      </c>
      <c r="D34" s="8">
        <v>10.9</v>
      </c>
      <c r="E34" s="8">
        <v>9.8800000000000008</v>
      </c>
      <c r="F34" s="8">
        <v>-3.51</v>
      </c>
      <c r="G34" s="8">
        <v>5.46</v>
      </c>
      <c r="H34" s="8">
        <v>5.88</v>
      </c>
      <c r="I34" s="8">
        <v>12.4</v>
      </c>
      <c r="J34" s="8">
        <v>21</v>
      </c>
      <c r="K34" s="8">
        <v>13.1</v>
      </c>
      <c r="L34" s="8">
        <v>-8.16</v>
      </c>
      <c r="M34" s="8">
        <v>8.77</v>
      </c>
    </row>
    <row r="35" spans="1:13" x14ac:dyDescent="0.2">
      <c r="A35" s="6">
        <v>30</v>
      </c>
      <c r="B35" s="7" t="s">
        <v>118</v>
      </c>
      <c r="C35" s="6" t="s">
        <v>119</v>
      </c>
      <c r="D35" s="8">
        <v>60.4</v>
      </c>
      <c r="E35" s="8">
        <v>38</v>
      </c>
      <c r="F35" s="8">
        <v>43</v>
      </c>
      <c r="G35" s="8">
        <v>57.9</v>
      </c>
      <c r="H35" s="8">
        <v>57.4</v>
      </c>
      <c r="I35" s="8">
        <v>90.9</v>
      </c>
      <c r="J35" s="8">
        <v>55.4</v>
      </c>
      <c r="K35" s="8">
        <v>34.1</v>
      </c>
      <c r="L35" s="8">
        <v>27.5</v>
      </c>
      <c r="M35" s="8">
        <v>41.3</v>
      </c>
    </row>
    <row r="36" spans="1:13" x14ac:dyDescent="0.2">
      <c r="A36" s="6">
        <v>31</v>
      </c>
      <c r="B36" s="7" t="s">
        <v>121</v>
      </c>
      <c r="C36" s="6" t="s">
        <v>122</v>
      </c>
      <c r="D36" s="8">
        <v>6.16</v>
      </c>
      <c r="E36" s="8">
        <v>3.38</v>
      </c>
      <c r="F36" s="8">
        <v>4.87</v>
      </c>
      <c r="G36" s="8">
        <v>6.35</v>
      </c>
      <c r="H36" s="8">
        <v>7.45</v>
      </c>
      <c r="I36" s="8">
        <v>7.72</v>
      </c>
      <c r="J36" s="8">
        <v>7.26</v>
      </c>
      <c r="K36" s="8">
        <v>4.72</v>
      </c>
      <c r="L36" s="8">
        <v>2.44</v>
      </c>
      <c r="M36" s="8">
        <v>-9.2200000000000006</v>
      </c>
    </row>
    <row r="37" spans="1:13" x14ac:dyDescent="0.2">
      <c r="A37" s="6">
        <v>32</v>
      </c>
      <c r="B37" s="7" t="s">
        <v>124</v>
      </c>
      <c r="C37" s="6" t="s">
        <v>125</v>
      </c>
      <c r="D37" s="8">
        <v>-39.1</v>
      </c>
      <c r="E37" s="8">
        <v>4.28</v>
      </c>
      <c r="F37" s="8">
        <v>0.54300000000000004</v>
      </c>
      <c r="G37" s="8">
        <v>3.24</v>
      </c>
      <c r="H37" s="8">
        <v>4.55</v>
      </c>
      <c r="I37" s="8">
        <v>7.76</v>
      </c>
      <c r="J37" s="8">
        <v>26.6</v>
      </c>
      <c r="K37" s="8">
        <v>20.399999999999999</v>
      </c>
      <c r="L37" s="8">
        <v>11.5</v>
      </c>
      <c r="M37" s="8">
        <v>27.3</v>
      </c>
    </row>
    <row r="38" spans="1:13" ht="30" x14ac:dyDescent="0.2">
      <c r="A38" s="6">
        <v>33</v>
      </c>
      <c r="B38" s="7" t="s">
        <v>127</v>
      </c>
      <c r="C38" s="6" t="s">
        <v>128</v>
      </c>
      <c r="D38" s="8">
        <v>4.4000000000000004</v>
      </c>
      <c r="E38" s="8">
        <v>0.98499999999999999</v>
      </c>
      <c r="F38" s="8">
        <v>2.16</v>
      </c>
      <c r="G38" s="8">
        <v>4.5599999999999996</v>
      </c>
      <c r="H38" s="8">
        <v>1.07</v>
      </c>
      <c r="I38" s="8">
        <v>0.2</v>
      </c>
      <c r="J38" s="8">
        <v>0.51600000000000001</v>
      </c>
      <c r="K38" s="8">
        <v>8.56</v>
      </c>
      <c r="L38" s="8">
        <v>7.72</v>
      </c>
      <c r="M38" s="8">
        <v>9.36</v>
      </c>
    </row>
    <row r="39" spans="1:13" x14ac:dyDescent="0.2">
      <c r="A39" s="6">
        <v>34</v>
      </c>
      <c r="B39" s="7" t="s">
        <v>130</v>
      </c>
      <c r="C39" s="6" t="s">
        <v>131</v>
      </c>
      <c r="D39" s="8">
        <v>1.42</v>
      </c>
      <c r="E39" s="8">
        <v>1.67</v>
      </c>
      <c r="F39" s="8">
        <v>1.55</v>
      </c>
      <c r="G39" s="8">
        <v>1.42</v>
      </c>
      <c r="H39" s="8">
        <v>2.12</v>
      </c>
      <c r="I39" s="8">
        <v>2.2599999999999998</v>
      </c>
      <c r="J39" s="8">
        <v>1.76</v>
      </c>
      <c r="K39" s="8">
        <v>1.8</v>
      </c>
      <c r="L39" s="8">
        <v>1.55</v>
      </c>
      <c r="M39" s="8">
        <v>2.65</v>
      </c>
    </row>
    <row r="40" spans="1:13" ht="30" x14ac:dyDescent="0.2">
      <c r="A40" s="6">
        <v>35</v>
      </c>
      <c r="B40" s="7" t="s">
        <v>133</v>
      </c>
      <c r="C40" s="6" t="s">
        <v>134</v>
      </c>
      <c r="D40" s="8">
        <v>201.3</v>
      </c>
      <c r="E40" s="8">
        <v>238.3</v>
      </c>
      <c r="F40" s="8">
        <v>218.1</v>
      </c>
      <c r="G40" s="8">
        <v>219.8</v>
      </c>
      <c r="H40" s="8">
        <v>47.8</v>
      </c>
      <c r="I40" s="8">
        <v>140.80000000000001</v>
      </c>
      <c r="J40" s="8">
        <v>108.5</v>
      </c>
      <c r="K40" s="8">
        <v>83.4</v>
      </c>
      <c r="L40" s="8">
        <v>36</v>
      </c>
      <c r="M40" s="8">
        <v>-4.01</v>
      </c>
    </row>
    <row r="41" spans="1:13" x14ac:dyDescent="0.2">
      <c r="A41" s="6">
        <v>36</v>
      </c>
      <c r="B41" s="7" t="s">
        <v>136</v>
      </c>
      <c r="C41" s="6" t="s">
        <v>137</v>
      </c>
      <c r="D41" s="8">
        <v>1.44</v>
      </c>
      <c r="E41" s="8">
        <v>2.1</v>
      </c>
      <c r="F41" s="8">
        <v>1.87</v>
      </c>
      <c r="G41" s="8">
        <v>3.64</v>
      </c>
      <c r="H41" s="8">
        <v>3.7</v>
      </c>
      <c r="I41" s="8">
        <v>1.9</v>
      </c>
      <c r="J41" s="8">
        <v>2.09</v>
      </c>
      <c r="K41" s="8">
        <v>3.94</v>
      </c>
      <c r="L41" s="8">
        <v>6.76</v>
      </c>
      <c r="M41" s="8">
        <v>8.99</v>
      </c>
    </row>
    <row r="42" spans="1:13" x14ac:dyDescent="0.2">
      <c r="A42" s="6">
        <v>37</v>
      </c>
      <c r="B42" s="7" t="s">
        <v>139</v>
      </c>
      <c r="C42" s="6" t="s">
        <v>140</v>
      </c>
      <c r="D42" s="8">
        <v>17.7</v>
      </c>
      <c r="E42" s="8">
        <v>15.1</v>
      </c>
      <c r="F42" s="8">
        <v>15.4</v>
      </c>
      <c r="G42" s="8">
        <v>-9.57</v>
      </c>
      <c r="H42" s="8">
        <v>9.99</v>
      </c>
      <c r="I42" s="8">
        <v>24.8</v>
      </c>
      <c r="J42" s="8">
        <v>21.8</v>
      </c>
      <c r="K42" s="8">
        <v>3.05</v>
      </c>
      <c r="L42" s="8">
        <v>-5.75</v>
      </c>
      <c r="M42" s="8">
        <v>-119.4</v>
      </c>
    </row>
    <row r="43" spans="1:13" x14ac:dyDescent="0.2">
      <c r="A43" s="6">
        <v>38</v>
      </c>
      <c r="B43" s="7" t="s">
        <v>142</v>
      </c>
      <c r="C43" s="6" t="s">
        <v>143</v>
      </c>
      <c r="D43" s="8">
        <v>37.700000000000003</v>
      </c>
      <c r="E43" s="8">
        <v>23.9</v>
      </c>
      <c r="F43" s="8">
        <v>10.3</v>
      </c>
      <c r="G43" s="8">
        <v>56.6</v>
      </c>
      <c r="H43" s="8">
        <v>-138.30000000000001</v>
      </c>
      <c r="I43" s="8">
        <v>90.5</v>
      </c>
      <c r="J43" s="8">
        <v>103.2</v>
      </c>
      <c r="K43" s="8">
        <v>57.3</v>
      </c>
      <c r="L43" s="8">
        <v>17.100000000000001</v>
      </c>
      <c r="M43" s="8">
        <v>22</v>
      </c>
    </row>
    <row r="44" spans="1:13" x14ac:dyDescent="0.2">
      <c r="A44" s="6">
        <v>39</v>
      </c>
      <c r="B44" s="7" t="s">
        <v>145</v>
      </c>
      <c r="C44" s="6" t="s">
        <v>146</v>
      </c>
      <c r="D44" s="8">
        <v>67.2</v>
      </c>
      <c r="E44" s="8">
        <v>-13.1</v>
      </c>
      <c r="F44" s="8">
        <v>20.399999999999999</v>
      </c>
      <c r="G44" s="8">
        <v>-18.399999999999999</v>
      </c>
      <c r="H44" s="8">
        <v>269.3</v>
      </c>
      <c r="I44" s="8">
        <v>122.7</v>
      </c>
      <c r="J44" s="8">
        <v>195.9</v>
      </c>
      <c r="K44" s="8">
        <v>-947.8</v>
      </c>
      <c r="L44" s="8">
        <v>146.19999999999999</v>
      </c>
      <c r="M44" s="8">
        <v>-100.9</v>
      </c>
    </row>
    <row r="45" spans="1:13" x14ac:dyDescent="0.2">
      <c r="A45" s="6">
        <v>40</v>
      </c>
      <c r="B45" s="7" t="s">
        <v>148</v>
      </c>
      <c r="C45" s="6" t="s">
        <v>149</v>
      </c>
      <c r="D45" s="8">
        <v>20.399999999999999</v>
      </c>
      <c r="E45" s="8">
        <v>21.6</v>
      </c>
      <c r="F45" s="8">
        <v>20.8</v>
      </c>
      <c r="G45" s="8">
        <v>20.399999999999999</v>
      </c>
      <c r="H45" s="8">
        <v>19.3</v>
      </c>
      <c r="I45" s="8">
        <v>18.399999999999999</v>
      </c>
      <c r="J45" s="8">
        <v>19.5</v>
      </c>
      <c r="K45" s="8">
        <v>22.5</v>
      </c>
      <c r="L45" s="8">
        <v>23</v>
      </c>
      <c r="M45" s="8">
        <v>22.4</v>
      </c>
    </row>
    <row r="46" spans="1:13" x14ac:dyDescent="0.2">
      <c r="A46" s="6">
        <v>41</v>
      </c>
      <c r="B46" s="7" t="s">
        <v>151</v>
      </c>
      <c r="C46" s="6" t="s">
        <v>152</v>
      </c>
      <c r="D46" s="8">
        <v>105.8</v>
      </c>
      <c r="E46" s="8">
        <v>86</v>
      </c>
      <c r="F46" s="8">
        <v>37.200000000000003</v>
      </c>
      <c r="G46" s="8">
        <v>56.3</v>
      </c>
      <c r="H46" s="8">
        <v>-362.3</v>
      </c>
      <c r="I46" s="8">
        <v>6.07</v>
      </c>
      <c r="J46" s="8">
        <v>132</v>
      </c>
      <c r="K46" s="8">
        <v>103.9</v>
      </c>
      <c r="L46" s="8">
        <v>-2.08</v>
      </c>
      <c r="M46" s="8">
        <v>-26.6</v>
      </c>
    </row>
    <row r="47" spans="1:13" x14ac:dyDescent="0.2">
      <c r="A47" s="6">
        <v>42</v>
      </c>
      <c r="B47" s="7" t="s">
        <v>154</v>
      </c>
      <c r="C47" s="6" t="s">
        <v>155</v>
      </c>
      <c r="D47" s="8">
        <v>10.6</v>
      </c>
      <c r="E47" s="8">
        <v>6.49</v>
      </c>
      <c r="F47" s="8">
        <v>9.48</v>
      </c>
      <c r="G47" s="8">
        <v>17.8</v>
      </c>
      <c r="H47" s="8">
        <v>18.8</v>
      </c>
      <c r="I47" s="8">
        <v>5.42</v>
      </c>
      <c r="J47" s="8">
        <v>12.2</v>
      </c>
      <c r="K47" s="8">
        <v>43.6</v>
      </c>
      <c r="L47" s="8">
        <v>45.6</v>
      </c>
      <c r="M47" s="8">
        <v>52.7</v>
      </c>
    </row>
    <row r="48" spans="1:13" x14ac:dyDescent="0.2">
      <c r="A48" s="6">
        <v>43</v>
      </c>
      <c r="B48" s="7" t="s">
        <v>157</v>
      </c>
      <c r="C48" s="6" t="s">
        <v>158</v>
      </c>
      <c r="D48" s="8">
        <v>12.1</v>
      </c>
      <c r="E48" s="8">
        <v>13.3</v>
      </c>
      <c r="F48" s="8">
        <v>12.5</v>
      </c>
      <c r="G48" s="8">
        <v>11.8</v>
      </c>
      <c r="H48" s="8">
        <v>4.16</v>
      </c>
      <c r="I48" s="8">
        <v>4.43</v>
      </c>
      <c r="J48" s="8">
        <v>9.36</v>
      </c>
      <c r="K48" s="8">
        <v>15.9</v>
      </c>
      <c r="L48" s="8">
        <v>13.7</v>
      </c>
      <c r="M48" s="8">
        <v>15.7</v>
      </c>
    </row>
    <row r="49" spans="1:13" x14ac:dyDescent="0.2">
      <c r="A49" s="6">
        <v>44</v>
      </c>
      <c r="B49" s="7" t="s">
        <v>160</v>
      </c>
      <c r="C49" s="6" t="s">
        <v>161</v>
      </c>
      <c r="D49" s="8">
        <v>12</v>
      </c>
      <c r="E49" s="8">
        <v>24.6</v>
      </c>
      <c r="F49" s="8">
        <v>19.2</v>
      </c>
      <c r="G49" s="8">
        <v>13.4</v>
      </c>
      <c r="H49" s="8">
        <v>17.3</v>
      </c>
      <c r="I49" s="8">
        <v>14.8</v>
      </c>
      <c r="J49" s="8">
        <v>26.2</v>
      </c>
      <c r="K49" s="8">
        <v>22.3</v>
      </c>
      <c r="L49" s="8">
        <v>15.1</v>
      </c>
      <c r="M49" s="8">
        <v>35.700000000000003</v>
      </c>
    </row>
    <row r="50" spans="1:13" x14ac:dyDescent="0.2">
      <c r="A50" s="6">
        <v>45</v>
      </c>
      <c r="B50" s="7" t="s">
        <v>163</v>
      </c>
      <c r="C50" s="6" t="s">
        <v>164</v>
      </c>
      <c r="D50" s="8">
        <v>188.9</v>
      </c>
      <c r="E50" s="8">
        <v>29.9</v>
      </c>
      <c r="F50" s="8">
        <v>10.4</v>
      </c>
      <c r="G50" s="8">
        <v>-60.6</v>
      </c>
      <c r="H50" s="8">
        <v>122.3</v>
      </c>
      <c r="I50" s="8">
        <v>278.5</v>
      </c>
      <c r="J50" s="8">
        <v>123.7</v>
      </c>
      <c r="K50" s="8">
        <v>33.4</v>
      </c>
      <c r="L50" s="8">
        <v>-38.6</v>
      </c>
      <c r="M50" s="8">
        <v>-89.8</v>
      </c>
    </row>
    <row r="51" spans="1:13" x14ac:dyDescent="0.2">
      <c r="A51" s="6">
        <v>46</v>
      </c>
      <c r="B51" s="7" t="s">
        <v>166</v>
      </c>
      <c r="C51" s="6" t="s">
        <v>167</v>
      </c>
      <c r="D51" s="8">
        <v>-18.5</v>
      </c>
      <c r="E51" s="8">
        <v>-1.1399999999999999</v>
      </c>
      <c r="F51" s="8">
        <v>9.08</v>
      </c>
      <c r="G51" s="8">
        <v>8.09</v>
      </c>
      <c r="H51" s="8">
        <v>1.49</v>
      </c>
      <c r="I51" s="8">
        <v>5.07</v>
      </c>
      <c r="J51" s="8">
        <v>34</v>
      </c>
      <c r="K51" s="8">
        <v>13.7</v>
      </c>
      <c r="L51" s="8">
        <v>5.29</v>
      </c>
      <c r="M51" s="8">
        <v>5.88</v>
      </c>
    </row>
    <row r="52" spans="1:13" x14ac:dyDescent="0.2">
      <c r="A52" s="6">
        <v>47</v>
      </c>
      <c r="B52" s="7" t="s">
        <v>169</v>
      </c>
      <c r="C52" s="6" t="s">
        <v>170</v>
      </c>
      <c r="D52" s="8">
        <v>82.6</v>
      </c>
      <c r="E52" s="8">
        <v>80.3</v>
      </c>
      <c r="F52" s="8">
        <v>80.099999999999994</v>
      </c>
      <c r="G52" s="8">
        <v>37.9</v>
      </c>
      <c r="H52" s="8">
        <v>69.8</v>
      </c>
      <c r="I52" s="8">
        <v>-22.6</v>
      </c>
      <c r="J52" s="8">
        <v>67.599999999999994</v>
      </c>
      <c r="K52" s="8">
        <v>104.1</v>
      </c>
      <c r="L52" s="8">
        <v>98.3</v>
      </c>
      <c r="M52" s="8">
        <v>40</v>
      </c>
    </row>
    <row r="53" spans="1:13" ht="30" x14ac:dyDescent="0.2">
      <c r="A53" s="6">
        <v>48</v>
      </c>
      <c r="B53" s="7" t="s">
        <v>172</v>
      </c>
      <c r="C53" s="6" t="s">
        <v>173</v>
      </c>
      <c r="D53" s="8">
        <v>7.41</v>
      </c>
      <c r="E53" s="8">
        <v>5.46</v>
      </c>
      <c r="F53" s="8">
        <v>-4.78</v>
      </c>
      <c r="G53" s="8">
        <v>-15.2</v>
      </c>
      <c r="H53" s="8">
        <v>8.17</v>
      </c>
      <c r="I53" s="8">
        <v>4.67</v>
      </c>
      <c r="J53" s="8">
        <v>12.2</v>
      </c>
      <c r="K53" s="8">
        <v>20.3</v>
      </c>
      <c r="L53" s="8">
        <v>13.3</v>
      </c>
      <c r="M53" s="8">
        <v>11.2</v>
      </c>
    </row>
    <row r="54" spans="1:13" x14ac:dyDescent="0.2">
      <c r="A54" s="6">
        <v>49</v>
      </c>
      <c r="B54" s="7" t="s">
        <v>175</v>
      </c>
      <c r="C54" s="6" t="s">
        <v>176</v>
      </c>
      <c r="D54" s="8">
        <v>-34.6</v>
      </c>
      <c r="E54" s="8">
        <v>-18.8</v>
      </c>
      <c r="F54" s="8">
        <v>-13.9</v>
      </c>
      <c r="G54" s="8">
        <v>-1.71</v>
      </c>
      <c r="H54" s="8">
        <v>-6.1</v>
      </c>
      <c r="I54" s="8">
        <v>18</v>
      </c>
      <c r="J54" s="8">
        <v>22</v>
      </c>
      <c r="K54" s="8">
        <v>74.599999999999994</v>
      </c>
      <c r="L54" s="8">
        <v>38</v>
      </c>
      <c r="M54" s="8">
        <v>39.9</v>
      </c>
    </row>
    <row r="55" spans="1:13" ht="30" x14ac:dyDescent="0.2">
      <c r="A55" s="6">
        <v>50</v>
      </c>
      <c r="B55" s="7" t="s">
        <v>178</v>
      </c>
      <c r="C55" s="6" t="s">
        <v>179</v>
      </c>
      <c r="D55" s="8">
        <v>-0.33100000000000002</v>
      </c>
      <c r="E55" s="8">
        <v>4.2</v>
      </c>
      <c r="F55" s="8">
        <v>11.2</v>
      </c>
      <c r="G55" s="8">
        <v>28.4</v>
      </c>
      <c r="H55" s="8">
        <v>38.6</v>
      </c>
      <c r="I55" s="8">
        <v>40.6</v>
      </c>
      <c r="J55" s="8">
        <v>49.8</v>
      </c>
      <c r="K55" s="8">
        <v>47.8</v>
      </c>
      <c r="L55" s="8">
        <v>30.6</v>
      </c>
      <c r="M55" s="8">
        <v>24.7</v>
      </c>
    </row>
    <row r="56" spans="1:13" ht="30" x14ac:dyDescent="0.2">
      <c r="A56" s="6">
        <v>51</v>
      </c>
      <c r="B56" s="7" t="s">
        <v>181</v>
      </c>
      <c r="C56" s="6" t="s">
        <v>182</v>
      </c>
      <c r="D56" s="8">
        <v>24.2</v>
      </c>
      <c r="E56" s="8">
        <v>28.2</v>
      </c>
      <c r="F56" s="8">
        <v>52.2</v>
      </c>
      <c r="G56" s="8">
        <v>37.6</v>
      </c>
      <c r="H56" s="8">
        <v>48.1</v>
      </c>
      <c r="I56" s="8">
        <v>73.7</v>
      </c>
      <c r="J56" s="8">
        <v>168.6</v>
      </c>
      <c r="K56" s="8">
        <v>92.9</v>
      </c>
      <c r="L56" s="8">
        <v>129.9</v>
      </c>
      <c r="M56" s="8">
        <v>-99.9</v>
      </c>
    </row>
    <row r="57" spans="1:13" ht="30" x14ac:dyDescent="0.2">
      <c r="A57" s="6">
        <v>52</v>
      </c>
      <c r="B57" s="7" t="s">
        <v>184</v>
      </c>
      <c r="C57" s="6" t="s">
        <v>185</v>
      </c>
      <c r="D57" s="8">
        <v>0.433</v>
      </c>
      <c r="E57" s="8">
        <v>0.14199999999999999</v>
      </c>
      <c r="F57" s="8">
        <v>0.80100000000000005</v>
      </c>
      <c r="G57" s="8">
        <v>1.35</v>
      </c>
      <c r="H57" s="8">
        <v>1.39</v>
      </c>
      <c r="I57" s="8">
        <v>2.96</v>
      </c>
      <c r="J57" s="8">
        <v>1.99</v>
      </c>
      <c r="K57" s="8">
        <v>2.15</v>
      </c>
      <c r="L57" s="8">
        <v>2.12</v>
      </c>
      <c r="M57" s="8">
        <v>1.54</v>
      </c>
    </row>
    <row r="58" spans="1:13" x14ac:dyDescent="0.2">
      <c r="A58" s="6">
        <v>53</v>
      </c>
      <c r="B58" s="7" t="s">
        <v>187</v>
      </c>
      <c r="C58" s="6" t="s">
        <v>188</v>
      </c>
      <c r="D58" s="8">
        <v>16.7</v>
      </c>
      <c r="E58" s="8">
        <v>19.3</v>
      </c>
      <c r="F58" s="8">
        <v>28.5</v>
      </c>
      <c r="G58" s="8">
        <v>28.2</v>
      </c>
      <c r="H58" s="8">
        <v>19.399999999999999</v>
      </c>
      <c r="I58" s="8">
        <v>29</v>
      </c>
      <c r="J58" s="8">
        <v>40.299999999999997</v>
      </c>
      <c r="K58" s="8">
        <v>41.7</v>
      </c>
      <c r="L58" s="8">
        <v>17.899999999999999</v>
      </c>
      <c r="M58" s="8">
        <v>11.4</v>
      </c>
    </row>
    <row r="59" spans="1:13" x14ac:dyDescent="0.2">
      <c r="A59" s="6">
        <v>54</v>
      </c>
      <c r="B59" s="7" t="s">
        <v>190</v>
      </c>
      <c r="C59" s="6" t="s">
        <v>191</v>
      </c>
      <c r="D59" s="8">
        <v>0.36299999999999999</v>
      </c>
      <c r="E59" s="8">
        <v>4.01</v>
      </c>
      <c r="F59" s="8">
        <v>4.26</v>
      </c>
      <c r="G59" s="8">
        <v>2.63</v>
      </c>
      <c r="H59" s="8">
        <v>4.24</v>
      </c>
      <c r="I59" s="8">
        <v>6.18</v>
      </c>
      <c r="J59" s="8">
        <v>4.87</v>
      </c>
      <c r="K59" s="8">
        <v>8.2100000000000009</v>
      </c>
      <c r="L59" s="8">
        <v>6.59</v>
      </c>
      <c r="M59" s="8">
        <v>13.3</v>
      </c>
    </row>
    <row r="60" spans="1:13" x14ac:dyDescent="0.2">
      <c r="A60" s="6">
        <v>55</v>
      </c>
      <c r="B60" s="7" t="s">
        <v>193</v>
      </c>
      <c r="C60" s="6" t="s">
        <v>194</v>
      </c>
      <c r="D60" s="8">
        <v>48.7</v>
      </c>
      <c r="E60" s="8">
        <v>77.599999999999994</v>
      </c>
      <c r="F60" s="8">
        <v>106.6</v>
      </c>
      <c r="G60" s="8">
        <v>103.7</v>
      </c>
      <c r="H60" s="8">
        <v>104.8</v>
      </c>
      <c r="I60" s="8">
        <v>324</v>
      </c>
      <c r="J60" s="8">
        <v>351.2</v>
      </c>
      <c r="K60" s="8">
        <v>181.5</v>
      </c>
      <c r="L60" s="8">
        <v>-18</v>
      </c>
      <c r="M60" s="8">
        <v>36.4</v>
      </c>
    </row>
    <row r="61" spans="1:13" x14ac:dyDescent="0.2">
      <c r="A61" s="6">
        <v>56</v>
      </c>
      <c r="B61" s="7" t="s">
        <v>196</v>
      </c>
      <c r="C61" s="6" t="s">
        <v>197</v>
      </c>
      <c r="D61" s="8">
        <v>16.899999999999999</v>
      </c>
      <c r="E61" s="8">
        <v>27</v>
      </c>
      <c r="F61" s="8">
        <v>14.8</v>
      </c>
      <c r="G61" s="8">
        <v>18.899999999999999</v>
      </c>
      <c r="H61" s="8">
        <v>26</v>
      </c>
      <c r="I61" s="8">
        <v>10.4</v>
      </c>
      <c r="J61" s="8">
        <v>-0.26700000000000002</v>
      </c>
      <c r="K61" s="8">
        <v>-4.4800000000000004</v>
      </c>
      <c r="L61" s="8">
        <v>3.42</v>
      </c>
      <c r="M61" s="8">
        <v>15.1</v>
      </c>
    </row>
    <row r="62" spans="1:13" x14ac:dyDescent="0.2">
      <c r="A62" s="6">
        <v>57</v>
      </c>
      <c r="B62" s="7" t="s">
        <v>199</v>
      </c>
      <c r="C62" s="6" t="s">
        <v>200</v>
      </c>
      <c r="D62" s="8">
        <v>18.3</v>
      </c>
      <c r="E62" s="8">
        <v>8.6199999999999992</v>
      </c>
      <c r="F62" s="8">
        <v>-8.99</v>
      </c>
      <c r="G62" s="8">
        <v>24.9</v>
      </c>
      <c r="H62" s="8">
        <v>24.5</v>
      </c>
      <c r="I62" s="8">
        <v>29.1</v>
      </c>
      <c r="J62" s="8">
        <v>20.8</v>
      </c>
      <c r="K62" s="8">
        <v>25.6</v>
      </c>
      <c r="L62" s="8">
        <v>25.7</v>
      </c>
      <c r="M62" s="8">
        <v>26.5</v>
      </c>
    </row>
    <row r="63" spans="1:13" ht="30" x14ac:dyDescent="0.2">
      <c r="A63" s="6">
        <v>58</v>
      </c>
      <c r="B63" s="7" t="s">
        <v>202</v>
      </c>
      <c r="C63" s="6" t="s">
        <v>203</v>
      </c>
      <c r="D63" s="8">
        <v>22.7</v>
      </c>
      <c r="E63" s="8">
        <v>22.8</v>
      </c>
      <c r="F63" s="8">
        <v>32.5</v>
      </c>
      <c r="G63" s="8">
        <v>33.9</v>
      </c>
      <c r="H63" s="8">
        <v>38.4</v>
      </c>
      <c r="I63" s="8">
        <v>36.5</v>
      </c>
      <c r="J63" s="8">
        <v>42.4</v>
      </c>
      <c r="K63" s="8">
        <v>31.5</v>
      </c>
      <c r="L63" s="8">
        <v>44.4</v>
      </c>
      <c r="M63" s="8">
        <v>42.8</v>
      </c>
    </row>
    <row r="64" spans="1:13" x14ac:dyDescent="0.2">
      <c r="A64" s="6">
        <v>59</v>
      </c>
      <c r="B64" s="7" t="s">
        <v>205</v>
      </c>
      <c r="C64" s="6" t="s">
        <v>206</v>
      </c>
      <c r="D64" s="8">
        <v>43.3</v>
      </c>
      <c r="E64" s="8">
        <v>354.5</v>
      </c>
      <c r="F64" s="8">
        <v>205</v>
      </c>
      <c r="G64" s="8">
        <v>87.1</v>
      </c>
      <c r="H64" s="8">
        <v>63.9</v>
      </c>
      <c r="I64" s="8">
        <v>112.9</v>
      </c>
      <c r="J64" s="8">
        <v>104.5</v>
      </c>
      <c r="K64" s="8">
        <v>-49.1</v>
      </c>
      <c r="L64" s="8">
        <v>86.2</v>
      </c>
      <c r="M64" s="8">
        <v>-110.9</v>
      </c>
    </row>
    <row r="65" spans="1:13" x14ac:dyDescent="0.2">
      <c r="A65" s="6">
        <v>60</v>
      </c>
      <c r="B65" s="7" t="s">
        <v>208</v>
      </c>
      <c r="C65" s="6" t="s">
        <v>209</v>
      </c>
      <c r="D65" s="8">
        <v>5.88</v>
      </c>
      <c r="E65" s="8">
        <v>13.3</v>
      </c>
      <c r="F65" s="8">
        <v>17.7</v>
      </c>
      <c r="G65" s="8">
        <v>16.8</v>
      </c>
      <c r="H65" s="8">
        <v>39.4</v>
      </c>
      <c r="I65" s="8">
        <v>1.63</v>
      </c>
      <c r="J65" s="8">
        <v>33.4</v>
      </c>
      <c r="K65" s="8">
        <v>29.5</v>
      </c>
      <c r="L65" s="8">
        <v>24.9</v>
      </c>
      <c r="M65" s="8">
        <v>12</v>
      </c>
    </row>
    <row r="66" spans="1:13" x14ac:dyDescent="0.2">
      <c r="A66" s="6">
        <v>61</v>
      </c>
      <c r="B66" s="7" t="s">
        <v>211</v>
      </c>
      <c r="C66" s="6" t="s">
        <v>212</v>
      </c>
      <c r="D66" s="8">
        <v>-26.7</v>
      </c>
      <c r="E66" s="8">
        <v>-13</v>
      </c>
      <c r="F66" s="8">
        <v>-2.78</v>
      </c>
      <c r="G66" s="8">
        <v>0.18</v>
      </c>
      <c r="H66" s="8">
        <v>-1.71</v>
      </c>
      <c r="I66" s="8">
        <v>3.22</v>
      </c>
      <c r="J66" s="8">
        <v>6.47</v>
      </c>
      <c r="K66" s="8">
        <v>4.9400000000000004</v>
      </c>
      <c r="L66" s="8">
        <v>6.17</v>
      </c>
      <c r="M66" s="8">
        <v>6.57</v>
      </c>
    </row>
    <row r="67" spans="1:13" x14ac:dyDescent="0.2">
      <c r="A67" s="6">
        <v>62</v>
      </c>
      <c r="B67" s="7" t="s">
        <v>214</v>
      </c>
      <c r="C67" s="6" t="s">
        <v>215</v>
      </c>
      <c r="D67" s="8">
        <v>24.5</v>
      </c>
      <c r="E67" s="8">
        <v>25.1</v>
      </c>
      <c r="F67" s="8">
        <v>40</v>
      </c>
      <c r="G67" s="8">
        <v>40.1</v>
      </c>
      <c r="H67" s="8">
        <v>89.2</v>
      </c>
      <c r="I67" s="8">
        <v>167.3</v>
      </c>
      <c r="J67" s="8">
        <v>181.7</v>
      </c>
      <c r="K67" s="8">
        <v>90.5</v>
      </c>
      <c r="L67" s="8">
        <v>55.2</v>
      </c>
      <c r="M67" s="8">
        <v>-57.6</v>
      </c>
    </row>
    <row r="68" spans="1:13" x14ac:dyDescent="0.2">
      <c r="A68" s="6">
        <v>63</v>
      </c>
      <c r="B68" s="7" t="s">
        <v>217</v>
      </c>
      <c r="C68" s="6" t="s">
        <v>218</v>
      </c>
      <c r="D68" s="8">
        <v>13.3</v>
      </c>
      <c r="E68" s="8">
        <v>14.6</v>
      </c>
      <c r="F68" s="8">
        <v>21.4</v>
      </c>
      <c r="G68" s="8">
        <v>16.5</v>
      </c>
      <c r="H68" s="8">
        <v>24</v>
      </c>
      <c r="I68" s="8">
        <v>62.2</v>
      </c>
      <c r="J68" s="8">
        <v>58.9</v>
      </c>
      <c r="K68" s="8">
        <v>-12</v>
      </c>
      <c r="L68" s="8">
        <v>-43.2</v>
      </c>
      <c r="M68" s="8">
        <v>5.21</v>
      </c>
    </row>
    <row r="69" spans="1:13" x14ac:dyDescent="0.2">
      <c r="A69" s="6">
        <v>64</v>
      </c>
      <c r="B69" s="7" t="s">
        <v>220</v>
      </c>
      <c r="C69" s="6" t="s">
        <v>221</v>
      </c>
      <c r="D69" s="8">
        <v>51.9</v>
      </c>
      <c r="E69" s="8">
        <v>62.1</v>
      </c>
      <c r="F69" s="8">
        <v>138.1</v>
      </c>
      <c r="G69" s="8">
        <v>143.80000000000001</v>
      </c>
      <c r="H69" s="8">
        <v>23.5</v>
      </c>
      <c r="I69" s="8">
        <v>200.6</v>
      </c>
      <c r="J69" s="8">
        <v>-133.1</v>
      </c>
      <c r="K69" s="8">
        <v>176.2</v>
      </c>
      <c r="L69" s="8">
        <v>193.6</v>
      </c>
      <c r="M69" s="8">
        <v>67.400000000000006</v>
      </c>
    </row>
    <row r="70" spans="1:13" ht="30" x14ac:dyDescent="0.2">
      <c r="A70" s="6">
        <v>65</v>
      </c>
      <c r="B70" s="7" t="s">
        <v>223</v>
      </c>
      <c r="C70" s="6" t="s">
        <v>224</v>
      </c>
      <c r="D70" s="8">
        <v>11.2</v>
      </c>
      <c r="E70" s="8">
        <v>11</v>
      </c>
      <c r="F70" s="8">
        <v>22.1</v>
      </c>
      <c r="G70" s="8">
        <v>15.2</v>
      </c>
      <c r="H70" s="8">
        <v>-1.72</v>
      </c>
      <c r="I70" s="8">
        <v>25.2</v>
      </c>
      <c r="J70" s="8">
        <v>37.700000000000003</v>
      </c>
      <c r="K70" s="8">
        <v>37.700000000000003</v>
      </c>
      <c r="L70" s="8">
        <v>4.96</v>
      </c>
      <c r="M70" s="8">
        <v>16.600000000000001</v>
      </c>
    </row>
    <row r="71" spans="1:13" x14ac:dyDescent="0.2">
      <c r="A71" s="6">
        <v>66</v>
      </c>
      <c r="B71" s="7" t="s">
        <v>226</v>
      </c>
      <c r="C71" s="6" t="s">
        <v>227</v>
      </c>
      <c r="D71" s="8">
        <v>13.1</v>
      </c>
      <c r="E71" s="8">
        <v>-103.1</v>
      </c>
      <c r="F71" s="8">
        <v>77.3</v>
      </c>
      <c r="G71" s="8">
        <v>34.799999999999997</v>
      </c>
      <c r="H71" s="8">
        <v>-6.28</v>
      </c>
      <c r="I71" s="8">
        <v>-71.400000000000006</v>
      </c>
      <c r="J71" s="8">
        <v>-128.5</v>
      </c>
      <c r="K71" s="8">
        <v>-40.9</v>
      </c>
      <c r="L71" s="8">
        <v>36</v>
      </c>
      <c r="M71" s="8">
        <v>43.8</v>
      </c>
    </row>
    <row r="72" spans="1:13" x14ac:dyDescent="0.2">
      <c r="A72" s="6">
        <v>67</v>
      </c>
      <c r="B72" s="7" t="s">
        <v>229</v>
      </c>
      <c r="C72" s="6" t="s">
        <v>230</v>
      </c>
      <c r="D72" s="8">
        <v>12.8</v>
      </c>
      <c r="E72" s="8">
        <v>15.6</v>
      </c>
      <c r="F72" s="8">
        <v>1.76</v>
      </c>
      <c r="G72" s="8">
        <v>-1.72</v>
      </c>
      <c r="H72" s="8">
        <v>-3.4</v>
      </c>
      <c r="I72" s="8">
        <v>4.6100000000000003</v>
      </c>
      <c r="J72" s="8">
        <v>17.8</v>
      </c>
      <c r="K72" s="8">
        <v>11.3</v>
      </c>
      <c r="L72" s="8">
        <v>5.78</v>
      </c>
      <c r="M72" s="8">
        <v>-8.5399999999999991</v>
      </c>
    </row>
    <row r="73" spans="1:13" ht="30" x14ac:dyDescent="0.2">
      <c r="A73" s="6">
        <v>68</v>
      </c>
      <c r="B73" s="7" t="s">
        <v>232</v>
      </c>
      <c r="C73" s="6" t="s">
        <v>233</v>
      </c>
      <c r="D73" s="8">
        <v>67.2</v>
      </c>
      <c r="E73" s="8">
        <v>61.4</v>
      </c>
      <c r="F73" s="8">
        <v>80.8</v>
      </c>
      <c r="G73" s="8">
        <v>83.9</v>
      </c>
      <c r="H73" s="8">
        <v>70.599999999999994</v>
      </c>
      <c r="I73" s="8">
        <v>-40.700000000000003</v>
      </c>
      <c r="J73" s="8">
        <v>78.099999999999994</v>
      </c>
      <c r="K73" s="8">
        <v>119.6</v>
      </c>
      <c r="L73" s="8">
        <v>100.7</v>
      </c>
      <c r="M73" s="8">
        <v>17.5</v>
      </c>
    </row>
    <row r="74" spans="1:13" x14ac:dyDescent="0.2">
      <c r="A74" s="6">
        <v>69</v>
      </c>
      <c r="B74" s="7" t="s">
        <v>235</v>
      </c>
      <c r="C74" s="6" t="s">
        <v>236</v>
      </c>
      <c r="D74" s="8">
        <v>-31.1</v>
      </c>
      <c r="E74" s="8">
        <v>20.100000000000001</v>
      </c>
      <c r="F74" s="8">
        <v>46.1</v>
      </c>
      <c r="G74" s="8">
        <v>41.7</v>
      </c>
      <c r="H74" s="8">
        <v>5.15</v>
      </c>
      <c r="I74" s="8">
        <v>26.7</v>
      </c>
      <c r="J74" s="8">
        <v>79.5</v>
      </c>
      <c r="K74" s="8">
        <v>73.900000000000006</v>
      </c>
      <c r="L74" s="8">
        <v>84.4</v>
      </c>
      <c r="M74" s="8">
        <v>38.799999999999997</v>
      </c>
    </row>
    <row r="75" spans="1:13" x14ac:dyDescent="0.2">
      <c r="A75" s="6">
        <v>70</v>
      </c>
      <c r="B75" s="7" t="s">
        <v>238</v>
      </c>
      <c r="C75" s="6" t="s">
        <v>239</v>
      </c>
      <c r="D75" s="8">
        <v>18.100000000000001</v>
      </c>
      <c r="E75" s="8">
        <v>31.3</v>
      </c>
      <c r="F75" s="8">
        <v>44</v>
      </c>
      <c r="G75" s="8">
        <v>54.3</v>
      </c>
      <c r="H75" s="8">
        <v>68.7</v>
      </c>
      <c r="I75" s="8">
        <v>74.400000000000006</v>
      </c>
      <c r="J75" s="8">
        <v>39.5</v>
      </c>
      <c r="K75" s="8">
        <v>17.600000000000001</v>
      </c>
      <c r="L75" s="8">
        <v>-45.8</v>
      </c>
      <c r="M75" s="8">
        <v>-22.3</v>
      </c>
    </row>
    <row r="76" spans="1:13" x14ac:dyDescent="0.2">
      <c r="A76" s="6">
        <v>71</v>
      </c>
      <c r="B76" s="7" t="s">
        <v>241</v>
      </c>
      <c r="C76" s="6" t="s">
        <v>242</v>
      </c>
      <c r="D76" s="8">
        <v>11.5</v>
      </c>
      <c r="E76" s="8">
        <v>14.1</v>
      </c>
      <c r="F76" s="8">
        <v>20.399999999999999</v>
      </c>
      <c r="G76" s="8">
        <v>7.26</v>
      </c>
      <c r="H76" s="8">
        <v>25.9</v>
      </c>
      <c r="I76" s="8">
        <v>24.4</v>
      </c>
      <c r="J76" s="8">
        <v>18</v>
      </c>
      <c r="K76" s="8">
        <v>9.83</v>
      </c>
      <c r="L76" s="8">
        <v>13</v>
      </c>
      <c r="M76" s="8">
        <v>13.7</v>
      </c>
    </row>
    <row r="77" spans="1:13" x14ac:dyDescent="0.2">
      <c r="A77" s="6">
        <v>72</v>
      </c>
      <c r="B77" s="7" t="s">
        <v>244</v>
      </c>
      <c r="C77" s="6" t="s">
        <v>245</v>
      </c>
      <c r="D77" s="8">
        <v>34.1</v>
      </c>
      <c r="E77" s="8">
        <v>146.69999999999999</v>
      </c>
      <c r="F77" s="8">
        <v>66.2</v>
      </c>
      <c r="G77" s="8">
        <v>41.3</v>
      </c>
      <c r="H77" s="8">
        <v>46.1</v>
      </c>
      <c r="I77" s="8">
        <v>139.80000000000001</v>
      </c>
      <c r="J77" s="8">
        <v>171.9</v>
      </c>
      <c r="K77" s="8">
        <v>54.6</v>
      </c>
      <c r="L77" s="8">
        <v>44.1</v>
      </c>
      <c r="M77" s="8">
        <v>49.3</v>
      </c>
    </row>
    <row r="78" spans="1:13" x14ac:dyDescent="0.2">
      <c r="A78" s="6">
        <v>73</v>
      </c>
      <c r="B78" s="7" t="s">
        <v>247</v>
      </c>
      <c r="C78" s="6" t="s">
        <v>248</v>
      </c>
      <c r="D78" s="8">
        <v>9.1300000000000008</v>
      </c>
      <c r="E78" s="8">
        <v>13.4</v>
      </c>
      <c r="F78" s="8">
        <v>10.9</v>
      </c>
      <c r="G78" s="8">
        <v>17</v>
      </c>
      <c r="H78" s="8">
        <v>26.1</v>
      </c>
      <c r="I78" s="8">
        <v>15.6</v>
      </c>
      <c r="J78" s="8">
        <v>14.2</v>
      </c>
      <c r="K78" s="8">
        <v>23.8</v>
      </c>
      <c r="L78" s="8">
        <v>24.5</v>
      </c>
      <c r="M78" s="8">
        <v>25.3</v>
      </c>
    </row>
    <row r="79" spans="1:13" x14ac:dyDescent="0.2">
      <c r="A79" s="6">
        <v>74</v>
      </c>
      <c r="B79" s="7" t="s">
        <v>250</v>
      </c>
      <c r="C79" s="6" t="s">
        <v>251</v>
      </c>
      <c r="D79" s="8">
        <v>14.4</v>
      </c>
      <c r="E79" s="8">
        <v>15.7</v>
      </c>
      <c r="F79" s="8">
        <v>20.100000000000001</v>
      </c>
      <c r="G79" s="8">
        <v>17.3</v>
      </c>
      <c r="H79" s="8">
        <v>19.899999999999999</v>
      </c>
      <c r="I79" s="8">
        <v>26.2</v>
      </c>
      <c r="J79" s="8">
        <v>23.6</v>
      </c>
      <c r="K79" s="8">
        <v>20.8</v>
      </c>
      <c r="L79" s="8">
        <v>18</v>
      </c>
      <c r="M79" s="8">
        <v>14.8</v>
      </c>
    </row>
    <row r="80" spans="1:13" x14ac:dyDescent="0.2">
      <c r="A80" s="6">
        <v>75</v>
      </c>
      <c r="B80" s="7" t="s">
        <v>253</v>
      </c>
      <c r="C80" s="6" t="s">
        <v>254</v>
      </c>
      <c r="D80" s="8">
        <v>10.5</v>
      </c>
      <c r="E80" s="8">
        <v>13.2</v>
      </c>
      <c r="F80" s="8">
        <v>15.3</v>
      </c>
      <c r="G80" s="8">
        <v>16</v>
      </c>
      <c r="H80" s="8">
        <v>10.3</v>
      </c>
      <c r="I80" s="8">
        <v>16.600000000000001</v>
      </c>
      <c r="J80" s="8">
        <v>20.9</v>
      </c>
      <c r="K80" s="8">
        <v>22.6</v>
      </c>
      <c r="L80" s="8">
        <v>16.600000000000001</v>
      </c>
      <c r="M80" s="8">
        <v>19.5</v>
      </c>
    </row>
    <row r="81" spans="1:13" x14ac:dyDescent="0.2">
      <c r="A81" s="6">
        <v>76</v>
      </c>
      <c r="B81" s="7" t="s">
        <v>256</v>
      </c>
      <c r="C81" s="6" t="s">
        <v>257</v>
      </c>
      <c r="D81" s="8">
        <v>0.624</v>
      </c>
      <c r="E81" s="8">
        <v>-10.1</v>
      </c>
      <c r="F81" s="8">
        <v>-17.899999999999999</v>
      </c>
      <c r="G81" s="8">
        <v>0.26100000000000001</v>
      </c>
      <c r="H81" s="8">
        <v>-23</v>
      </c>
      <c r="I81" s="8">
        <v>47.3</v>
      </c>
      <c r="J81" s="8">
        <v>48</v>
      </c>
      <c r="K81" s="8">
        <v>52.8</v>
      </c>
      <c r="L81" s="8">
        <v>51.8</v>
      </c>
      <c r="M81" s="8">
        <v>52.2</v>
      </c>
    </row>
    <row r="82" spans="1:13" x14ac:dyDescent="0.2">
      <c r="A82" s="6">
        <v>77</v>
      </c>
      <c r="B82" s="7" t="s">
        <v>259</v>
      </c>
      <c r="C82" s="6" t="s">
        <v>260</v>
      </c>
      <c r="D82" s="8">
        <v>32.299999999999997</v>
      </c>
      <c r="E82" s="8">
        <v>31.7</v>
      </c>
      <c r="F82" s="8">
        <v>16.8</v>
      </c>
      <c r="G82" s="8">
        <v>10.3</v>
      </c>
      <c r="H82" s="8">
        <v>28.8</v>
      </c>
      <c r="I82" s="8">
        <v>42.2</v>
      </c>
      <c r="J82" s="8">
        <v>54.7</v>
      </c>
      <c r="K82" s="8">
        <v>31.7</v>
      </c>
      <c r="L82" s="8">
        <v>60.2</v>
      </c>
      <c r="M82" s="8">
        <v>36.6</v>
      </c>
    </row>
    <row r="83" spans="1:13" x14ac:dyDescent="0.2">
      <c r="A83" s="6">
        <v>78</v>
      </c>
      <c r="B83" s="7" t="s">
        <v>262</v>
      </c>
      <c r="C83" s="6" t="s">
        <v>263</v>
      </c>
      <c r="D83" s="8">
        <v>97.4</v>
      </c>
      <c r="E83" s="8">
        <v>-111.8</v>
      </c>
      <c r="F83" s="8">
        <v>-51.9</v>
      </c>
      <c r="G83" s="8">
        <v>61.4</v>
      </c>
      <c r="H83" s="8">
        <v>-56.4</v>
      </c>
      <c r="I83" s="8">
        <v>114.9</v>
      </c>
      <c r="J83" s="8">
        <v>71.900000000000006</v>
      </c>
      <c r="K83" s="8">
        <v>-16.8</v>
      </c>
      <c r="L83" s="8">
        <v>-18.899999999999999</v>
      </c>
      <c r="M83" s="8">
        <v>13.3</v>
      </c>
    </row>
    <row r="84" spans="1:13" ht="30" x14ac:dyDescent="0.2">
      <c r="A84" s="6">
        <v>79</v>
      </c>
      <c r="B84" s="7" t="s">
        <v>265</v>
      </c>
      <c r="C84" s="6" t="s">
        <v>266</v>
      </c>
      <c r="D84" s="8">
        <v>1.83</v>
      </c>
      <c r="E84" s="8">
        <v>3.65</v>
      </c>
      <c r="F84" s="8">
        <v>1.2</v>
      </c>
      <c r="G84" s="8">
        <v>1.19</v>
      </c>
      <c r="H84" s="8">
        <v>3.5</v>
      </c>
      <c r="I84" s="8">
        <v>3.79</v>
      </c>
      <c r="J84" s="8">
        <v>3.96</v>
      </c>
      <c r="K84" s="8">
        <v>3.69</v>
      </c>
      <c r="L84" s="8">
        <v>4.16</v>
      </c>
      <c r="M84" s="8">
        <v>1.93</v>
      </c>
    </row>
    <row r="85" spans="1:13" x14ac:dyDescent="0.2">
      <c r="A85" s="6">
        <v>80</v>
      </c>
      <c r="B85" s="7" t="s">
        <v>268</v>
      </c>
      <c r="C85" s="6" t="s">
        <v>269</v>
      </c>
      <c r="D85" s="8">
        <v>-18</v>
      </c>
      <c r="E85" s="8">
        <v>2</v>
      </c>
      <c r="F85" s="8">
        <v>5.25</v>
      </c>
      <c r="G85" s="8">
        <v>16.899999999999999</v>
      </c>
      <c r="H85" s="8">
        <v>-240.8</v>
      </c>
      <c r="I85" s="8">
        <v>141.69999999999999</v>
      </c>
      <c r="J85" s="8">
        <v>58.4</v>
      </c>
      <c r="K85" s="8">
        <v>34</v>
      </c>
      <c r="L85" s="8">
        <v>7.09</v>
      </c>
      <c r="M85" s="8">
        <v>-12.5</v>
      </c>
    </row>
    <row r="86" spans="1:13" x14ac:dyDescent="0.2">
      <c r="A86" s="6">
        <v>81</v>
      </c>
      <c r="B86" s="7" t="s">
        <v>271</v>
      </c>
      <c r="C86" s="6" t="s">
        <v>272</v>
      </c>
      <c r="D86" s="8">
        <v>3.44</v>
      </c>
      <c r="E86" s="8">
        <v>2.67</v>
      </c>
      <c r="F86" s="8">
        <v>4.93</v>
      </c>
      <c r="G86" s="8">
        <v>5.51</v>
      </c>
      <c r="H86" s="8">
        <v>3.9</v>
      </c>
      <c r="I86" s="8">
        <v>9.17</v>
      </c>
      <c r="J86" s="8">
        <v>12.5</v>
      </c>
      <c r="K86" s="8">
        <v>15</v>
      </c>
      <c r="L86" s="8">
        <v>18.7</v>
      </c>
      <c r="M86" s="8">
        <v>15.8</v>
      </c>
    </row>
    <row r="87" spans="1:13" ht="30" x14ac:dyDescent="0.2">
      <c r="A87" s="6">
        <v>82</v>
      </c>
      <c r="B87" s="7" t="s">
        <v>274</v>
      </c>
      <c r="C87" s="6" t="s">
        <v>275</v>
      </c>
      <c r="D87" s="8">
        <v>24.2</v>
      </c>
      <c r="E87" s="8">
        <v>21.1</v>
      </c>
      <c r="F87" s="8">
        <v>25.6</v>
      </c>
      <c r="G87" s="8">
        <v>10</v>
      </c>
      <c r="H87" s="8">
        <v>18.8</v>
      </c>
      <c r="I87" s="8">
        <v>17.8</v>
      </c>
      <c r="J87" s="8">
        <v>-115</v>
      </c>
      <c r="K87" s="8">
        <v>-47.3</v>
      </c>
      <c r="L87" s="8">
        <v>16.100000000000001</v>
      </c>
      <c r="M87" s="8">
        <v>31.6</v>
      </c>
    </row>
    <row r="88" spans="1:13" x14ac:dyDescent="0.2">
      <c r="A88" s="6">
        <v>83</v>
      </c>
      <c r="B88" s="7" t="s">
        <v>277</v>
      </c>
      <c r="C88" s="6" t="s">
        <v>278</v>
      </c>
      <c r="D88" s="8">
        <v>19.899999999999999</v>
      </c>
      <c r="E88" s="8">
        <v>23</v>
      </c>
      <c r="F88" s="8">
        <v>33.700000000000003</v>
      </c>
      <c r="G88" s="8">
        <v>39.1</v>
      </c>
      <c r="H88" s="8">
        <v>29.8</v>
      </c>
      <c r="I88" s="8">
        <v>16.3</v>
      </c>
      <c r="J88" s="8">
        <v>20.3</v>
      </c>
      <c r="K88" s="8">
        <v>58.3</v>
      </c>
      <c r="L88" s="8">
        <v>63.5</v>
      </c>
      <c r="M88" s="8">
        <v>23</v>
      </c>
    </row>
    <row r="89" spans="1:13" x14ac:dyDescent="0.2">
      <c r="A89" s="6">
        <v>84</v>
      </c>
      <c r="B89" s="7" t="s">
        <v>280</v>
      </c>
      <c r="C89" s="6" t="s">
        <v>281</v>
      </c>
      <c r="D89" s="8">
        <v>105.8</v>
      </c>
      <c r="E89" s="8">
        <v>132.6</v>
      </c>
      <c r="F89" s="8">
        <v>141.69999999999999</v>
      </c>
      <c r="G89" s="8">
        <v>114</v>
      </c>
      <c r="H89" s="8">
        <v>70.7</v>
      </c>
      <c r="I89" s="8">
        <v>327.39999999999998</v>
      </c>
      <c r="J89" s="8">
        <v>444.1</v>
      </c>
      <c r="K89" s="8">
        <v>210.7</v>
      </c>
      <c r="L89" s="8">
        <v>-147</v>
      </c>
      <c r="M89" s="8">
        <v>-95.7</v>
      </c>
    </row>
    <row r="90" spans="1:13" x14ac:dyDescent="0.2">
      <c r="A90" s="6">
        <v>85</v>
      </c>
      <c r="B90" s="7" t="s">
        <v>283</v>
      </c>
      <c r="C90" s="6" t="s">
        <v>284</v>
      </c>
      <c r="D90" s="8">
        <v>1.1399999999999999</v>
      </c>
      <c r="E90" s="8">
        <v>1.1200000000000001</v>
      </c>
      <c r="F90" s="8">
        <v>3.57</v>
      </c>
      <c r="G90" s="8">
        <v>5.91</v>
      </c>
      <c r="H90" s="8">
        <v>-0.58299999999999996</v>
      </c>
      <c r="I90" s="8">
        <v>9.36</v>
      </c>
      <c r="J90" s="8">
        <v>6.72</v>
      </c>
      <c r="K90" s="8">
        <v>7.48</v>
      </c>
      <c r="L90" s="8">
        <v>13.7</v>
      </c>
      <c r="M90" s="8">
        <v>19.7</v>
      </c>
    </row>
    <row r="91" spans="1:13" x14ac:dyDescent="0.2">
      <c r="A91" s="6">
        <v>86</v>
      </c>
      <c r="B91" s="7" t="s">
        <v>286</v>
      </c>
      <c r="C91" s="6" t="s">
        <v>287</v>
      </c>
      <c r="D91" s="8"/>
      <c r="E91" s="8"/>
      <c r="F91" s="8"/>
      <c r="G91" s="8">
        <v>1.31</v>
      </c>
      <c r="H91" s="8">
        <v>1.1299999999999999</v>
      </c>
      <c r="I91" s="8">
        <v>2.94</v>
      </c>
      <c r="J91" s="8">
        <v>4.84</v>
      </c>
      <c r="K91" s="8">
        <v>6.96</v>
      </c>
      <c r="L91" s="8">
        <v>7.05</v>
      </c>
      <c r="M91" s="8">
        <v>9.24</v>
      </c>
    </row>
    <row r="92" spans="1:13" x14ac:dyDescent="0.2">
      <c r="A92" s="6">
        <v>87</v>
      </c>
      <c r="B92" s="7" t="s">
        <v>289</v>
      </c>
      <c r="C92" s="6" t="s">
        <v>290</v>
      </c>
      <c r="D92" s="8">
        <v>-41</v>
      </c>
      <c r="E92" s="8">
        <v>-17</v>
      </c>
      <c r="F92" s="8">
        <v>16</v>
      </c>
      <c r="G92" s="8">
        <v>11.1</v>
      </c>
      <c r="H92" s="8">
        <v>19.2</v>
      </c>
      <c r="I92" s="8">
        <v>44.4</v>
      </c>
      <c r="J92" s="8">
        <v>106.2</v>
      </c>
      <c r="K92" s="8">
        <v>106.6</v>
      </c>
      <c r="L92" s="8">
        <v>30.8</v>
      </c>
      <c r="M92" s="8">
        <v>-61.8</v>
      </c>
    </row>
    <row r="93" spans="1:13" x14ac:dyDescent="0.2">
      <c r="A93" s="6">
        <v>88</v>
      </c>
      <c r="B93" s="7" t="s">
        <v>292</v>
      </c>
      <c r="C93" s="6" t="s">
        <v>293</v>
      </c>
      <c r="D93" s="8">
        <v>-5.08</v>
      </c>
      <c r="E93" s="8">
        <v>-3.92</v>
      </c>
      <c r="F93" s="8">
        <v>1.97</v>
      </c>
      <c r="G93" s="8">
        <v>4.75</v>
      </c>
      <c r="H93" s="8">
        <v>7.67</v>
      </c>
      <c r="I93" s="8">
        <v>3.03</v>
      </c>
      <c r="J93" s="8">
        <v>-2.29</v>
      </c>
      <c r="K93" s="8">
        <v>7.01</v>
      </c>
      <c r="L93" s="8">
        <v>4.32</v>
      </c>
      <c r="M93" s="8">
        <v>36.1</v>
      </c>
    </row>
    <row r="94" spans="1:13" x14ac:dyDescent="0.2">
      <c r="A94" s="6">
        <v>89</v>
      </c>
      <c r="B94" s="7" t="s">
        <v>295</v>
      </c>
      <c r="C94" s="6" t="s">
        <v>296</v>
      </c>
      <c r="D94" s="8">
        <v>39</v>
      </c>
      <c r="E94" s="8">
        <v>55.3</v>
      </c>
      <c r="F94" s="8">
        <v>43.9</v>
      </c>
      <c r="G94" s="8">
        <v>49.2</v>
      </c>
      <c r="H94" s="8">
        <v>-86.6</v>
      </c>
      <c r="I94" s="8">
        <v>30.7</v>
      </c>
      <c r="J94" s="8">
        <v>38.6</v>
      </c>
      <c r="K94" s="8">
        <v>23.7</v>
      </c>
      <c r="L94" s="8">
        <v>56.2</v>
      </c>
      <c r="M94" s="8">
        <v>46.9</v>
      </c>
    </row>
    <row r="95" spans="1:13" x14ac:dyDescent="0.2">
      <c r="A95" s="6">
        <v>90</v>
      </c>
      <c r="B95" s="7" t="s">
        <v>298</v>
      </c>
      <c r="C95" s="6" t="s">
        <v>299</v>
      </c>
      <c r="D95" s="8">
        <v>3.72</v>
      </c>
      <c r="E95" s="8">
        <v>18.399999999999999</v>
      </c>
      <c r="F95" s="8">
        <v>22.1</v>
      </c>
      <c r="G95" s="8">
        <v>10.9</v>
      </c>
      <c r="H95" s="8">
        <v>26.4</v>
      </c>
      <c r="I95" s="8">
        <v>14.3</v>
      </c>
      <c r="J95" s="8">
        <v>24</v>
      </c>
      <c r="K95" s="8">
        <v>21.5</v>
      </c>
      <c r="L95" s="8">
        <v>23.1</v>
      </c>
      <c r="M95" s="8">
        <v>23</v>
      </c>
    </row>
    <row r="96" spans="1:13" ht="30" x14ac:dyDescent="0.2">
      <c r="A96" s="6">
        <v>91</v>
      </c>
      <c r="B96" s="7" t="s">
        <v>301</v>
      </c>
      <c r="C96" s="6" t="s">
        <v>302</v>
      </c>
      <c r="D96" s="8">
        <v>86.4</v>
      </c>
      <c r="E96" s="8">
        <v>112.7</v>
      </c>
      <c r="F96" s="8">
        <v>123.4</v>
      </c>
      <c r="G96" s="8">
        <v>104.7</v>
      </c>
      <c r="H96" s="8">
        <v>-125.2</v>
      </c>
      <c r="I96" s="8">
        <v>26.2</v>
      </c>
      <c r="J96" s="8">
        <v>123.7</v>
      </c>
      <c r="K96" s="8">
        <v>129.9</v>
      </c>
      <c r="L96" s="8">
        <v>85.1</v>
      </c>
      <c r="M96" s="8">
        <v>0.3</v>
      </c>
    </row>
    <row r="97" spans="1:13" x14ac:dyDescent="0.2">
      <c r="A97" s="6">
        <v>92</v>
      </c>
      <c r="B97" s="7" t="s">
        <v>304</v>
      </c>
      <c r="C97" s="6" t="s">
        <v>305</v>
      </c>
      <c r="D97" s="8">
        <v>0.49099999999999999</v>
      </c>
      <c r="E97" s="8">
        <v>30.7</v>
      </c>
      <c r="F97" s="8">
        <v>37.5</v>
      </c>
      <c r="G97" s="8">
        <v>37.9</v>
      </c>
      <c r="H97" s="8">
        <v>27.5</v>
      </c>
      <c r="I97" s="8">
        <v>27.5</v>
      </c>
      <c r="J97" s="8">
        <v>41.8</v>
      </c>
      <c r="K97" s="8">
        <v>44.6</v>
      </c>
      <c r="L97" s="8">
        <v>41.3</v>
      </c>
      <c r="M97" s="8">
        <v>42.8</v>
      </c>
    </row>
    <row r="98" spans="1:13" ht="30" x14ac:dyDescent="0.2">
      <c r="A98" s="6">
        <v>93</v>
      </c>
      <c r="B98" s="7" t="s">
        <v>307</v>
      </c>
      <c r="C98" s="6" t="s">
        <v>308</v>
      </c>
      <c r="D98" s="8">
        <v>1.01</v>
      </c>
      <c r="E98" s="8">
        <v>4.88</v>
      </c>
      <c r="F98" s="8">
        <v>-2.63</v>
      </c>
      <c r="G98" s="8">
        <v>2.04</v>
      </c>
      <c r="H98" s="8">
        <v>3.18</v>
      </c>
      <c r="I98" s="8">
        <v>5.96</v>
      </c>
      <c r="J98" s="8">
        <v>5.09</v>
      </c>
      <c r="K98" s="8">
        <v>6.39</v>
      </c>
      <c r="L98" s="8">
        <v>6.68</v>
      </c>
      <c r="M98" s="8">
        <v>19</v>
      </c>
    </row>
    <row r="99" spans="1:13" x14ac:dyDescent="0.2">
      <c r="A99" s="6">
        <v>94</v>
      </c>
      <c r="B99" s="7" t="s">
        <v>310</v>
      </c>
      <c r="C99" s="6" t="s">
        <v>311</v>
      </c>
      <c r="D99" s="8">
        <v>3.08</v>
      </c>
      <c r="E99" s="8">
        <v>2.98</v>
      </c>
      <c r="F99" s="8">
        <v>3.8</v>
      </c>
      <c r="G99" s="8">
        <v>3.4</v>
      </c>
      <c r="H99" s="8">
        <v>1.4</v>
      </c>
      <c r="I99" s="8">
        <v>12.6</v>
      </c>
      <c r="J99" s="8">
        <v>5.37</v>
      </c>
      <c r="K99" s="8">
        <v>3.48</v>
      </c>
      <c r="L99" s="8">
        <v>3.3</v>
      </c>
      <c r="M99" s="8">
        <v>5.78</v>
      </c>
    </row>
    <row r="100" spans="1:13" x14ac:dyDescent="0.2">
      <c r="A100" s="6">
        <v>95</v>
      </c>
      <c r="B100" s="7" t="s">
        <v>313</v>
      </c>
      <c r="C100" s="6" t="s">
        <v>314</v>
      </c>
      <c r="D100" s="8">
        <v>68.8</v>
      </c>
      <c r="E100" s="8">
        <v>127.2</v>
      </c>
      <c r="F100" s="8">
        <v>136.19999999999999</v>
      </c>
      <c r="G100" s="8">
        <v>139.69999999999999</v>
      </c>
      <c r="H100" s="8">
        <v>-21.4</v>
      </c>
      <c r="I100" s="8">
        <v>28.4</v>
      </c>
      <c r="J100" s="8">
        <v>98.1</v>
      </c>
      <c r="K100" s="8">
        <v>116.4</v>
      </c>
      <c r="L100" s="8">
        <v>-24</v>
      </c>
      <c r="M100" s="8">
        <v>78</v>
      </c>
    </row>
    <row r="101" spans="1:13" x14ac:dyDescent="0.2">
      <c r="A101" s="6">
        <v>96</v>
      </c>
      <c r="B101" s="7" t="s">
        <v>316</v>
      </c>
      <c r="C101" s="6" t="s">
        <v>317</v>
      </c>
      <c r="D101" s="8">
        <v>16.8</v>
      </c>
      <c r="E101" s="8">
        <v>55.4</v>
      </c>
      <c r="F101" s="8">
        <v>42.5</v>
      </c>
      <c r="G101" s="8">
        <v>8.48</v>
      </c>
      <c r="H101" s="8">
        <v>-42.7</v>
      </c>
      <c r="I101" s="8">
        <v>60.7</v>
      </c>
      <c r="J101" s="8">
        <v>108.7</v>
      </c>
      <c r="K101" s="8">
        <v>55.2</v>
      </c>
      <c r="L101" s="8">
        <v>35.9</v>
      </c>
      <c r="M101" s="8">
        <v>7.24</v>
      </c>
    </row>
    <row r="102" spans="1:13" x14ac:dyDescent="0.2">
      <c r="A102" s="6">
        <v>97</v>
      </c>
      <c r="B102" s="7" t="s">
        <v>319</v>
      </c>
      <c r="C102" s="6" t="s">
        <v>320</v>
      </c>
      <c r="D102" s="8">
        <v>92.3</v>
      </c>
      <c r="E102" s="8">
        <v>43.6</v>
      </c>
      <c r="F102" s="8">
        <v>105.8</v>
      </c>
      <c r="G102" s="8">
        <v>115.9</v>
      </c>
      <c r="H102" s="8">
        <v>121.3</v>
      </c>
      <c r="I102" s="8">
        <v>117.1</v>
      </c>
      <c r="J102" s="8">
        <v>85.2</v>
      </c>
      <c r="K102" s="8">
        <v>-57.9</v>
      </c>
      <c r="L102" s="8">
        <v>-91.6</v>
      </c>
      <c r="M102" s="8">
        <v>-64.400000000000006</v>
      </c>
    </row>
    <row r="103" spans="1:13" x14ac:dyDescent="0.2">
      <c r="A103" s="6">
        <v>98</v>
      </c>
      <c r="B103" s="7" t="s">
        <v>322</v>
      </c>
      <c r="C103" s="6" t="s">
        <v>323</v>
      </c>
      <c r="D103" s="8">
        <v>0.46500000000000002</v>
      </c>
      <c r="E103" s="8">
        <v>0.433</v>
      </c>
      <c r="F103" s="8">
        <v>1.07</v>
      </c>
      <c r="G103" s="8">
        <v>3.89</v>
      </c>
      <c r="H103" s="8">
        <v>-0.88100000000000001</v>
      </c>
      <c r="I103" s="8">
        <v>0.67500000000000004</v>
      </c>
      <c r="J103" s="8">
        <v>1.75</v>
      </c>
      <c r="K103" s="8">
        <v>0.47399999999999998</v>
      </c>
      <c r="L103" s="8">
        <v>3.85</v>
      </c>
      <c r="M103" s="8">
        <v>1.51</v>
      </c>
    </row>
    <row r="104" spans="1:13" x14ac:dyDescent="0.2">
      <c r="A104" s="6">
        <v>99</v>
      </c>
      <c r="B104" s="7" t="s">
        <v>325</v>
      </c>
      <c r="C104" s="6" t="s">
        <v>326</v>
      </c>
      <c r="D104" s="8">
        <v>38.700000000000003</v>
      </c>
      <c r="E104" s="8">
        <v>52.2</v>
      </c>
      <c r="F104" s="8">
        <v>-32.1</v>
      </c>
      <c r="G104" s="8">
        <v>55.7</v>
      </c>
      <c r="H104" s="8">
        <v>50.2</v>
      </c>
      <c r="I104" s="8">
        <v>57.2</v>
      </c>
      <c r="J104" s="8">
        <v>117.2</v>
      </c>
      <c r="K104" s="8">
        <v>103.5</v>
      </c>
      <c r="L104" s="8">
        <v>78</v>
      </c>
      <c r="M104" s="8">
        <v>66.400000000000006</v>
      </c>
    </row>
    <row r="105" spans="1:13" x14ac:dyDescent="0.2">
      <c r="A105" s="6">
        <v>100</v>
      </c>
      <c r="B105" s="7" t="s">
        <v>328</v>
      </c>
      <c r="C105" s="6" t="s">
        <v>329</v>
      </c>
      <c r="D105" s="8">
        <v>3.05</v>
      </c>
      <c r="E105" s="8">
        <v>2.38</v>
      </c>
      <c r="F105" s="8">
        <v>3</v>
      </c>
      <c r="G105" s="8">
        <v>3.84</v>
      </c>
      <c r="H105" s="8">
        <v>3.52</v>
      </c>
      <c r="I105" s="8">
        <v>10.9</v>
      </c>
      <c r="J105" s="8">
        <v>1.79</v>
      </c>
      <c r="K105" s="8">
        <v>5.42</v>
      </c>
      <c r="L105" s="8">
        <v>10.199999999999999</v>
      </c>
      <c r="M105" s="8">
        <v>8.35</v>
      </c>
    </row>
    <row r="106" spans="1:13" x14ac:dyDescent="0.2">
      <c r="A106" s="6">
        <v>101</v>
      </c>
      <c r="B106" s="7" t="s">
        <v>331</v>
      </c>
      <c r="C106" s="6" t="s">
        <v>332</v>
      </c>
      <c r="D106" s="8">
        <v>100.5</v>
      </c>
      <c r="E106" s="8">
        <v>404.3</v>
      </c>
      <c r="F106" s="8">
        <v>41.8</v>
      </c>
      <c r="G106" s="8">
        <v>55.5</v>
      </c>
      <c r="H106" s="8">
        <v>155.4</v>
      </c>
      <c r="I106" s="8">
        <v>128</v>
      </c>
      <c r="J106" s="8">
        <v>-25.1</v>
      </c>
      <c r="K106" s="8">
        <v>-57.5</v>
      </c>
      <c r="L106" s="8">
        <v>-21.5</v>
      </c>
      <c r="M106" s="8">
        <v>51.1</v>
      </c>
    </row>
    <row r="107" spans="1:13" x14ac:dyDescent="0.2">
      <c r="A107" s="6">
        <v>102</v>
      </c>
      <c r="B107" s="7" t="s">
        <v>334</v>
      </c>
      <c r="C107" s="6" t="s">
        <v>335</v>
      </c>
      <c r="D107" s="8">
        <v>-17.7</v>
      </c>
      <c r="E107" s="8">
        <v>83.6</v>
      </c>
      <c r="F107" s="8">
        <v>92.5</v>
      </c>
      <c r="G107" s="8">
        <v>111.6</v>
      </c>
      <c r="H107" s="8">
        <v>105.7</v>
      </c>
      <c r="I107" s="8">
        <v>109.3</v>
      </c>
      <c r="J107" s="8">
        <v>112.8</v>
      </c>
      <c r="K107" s="8">
        <v>46.5</v>
      </c>
      <c r="L107" s="8">
        <v>65.7</v>
      </c>
      <c r="M107" s="8">
        <v>59.7</v>
      </c>
    </row>
    <row r="108" spans="1:13" x14ac:dyDescent="0.2">
      <c r="A108" s="6">
        <v>103</v>
      </c>
      <c r="B108" s="7" t="s">
        <v>337</v>
      </c>
      <c r="C108" s="6" t="s">
        <v>338</v>
      </c>
      <c r="D108" s="8">
        <v>25.9</v>
      </c>
      <c r="E108" s="8">
        <v>26.8</v>
      </c>
      <c r="F108" s="8">
        <v>45.2</v>
      </c>
      <c r="G108" s="8">
        <v>66.900000000000006</v>
      </c>
      <c r="H108" s="8">
        <v>76.2</v>
      </c>
      <c r="I108" s="8">
        <v>119.3</v>
      </c>
      <c r="J108" s="8">
        <v>21</v>
      </c>
      <c r="K108" s="8">
        <v>-62.6</v>
      </c>
      <c r="L108" s="8">
        <v>-1.71</v>
      </c>
      <c r="M108" s="8">
        <v>13.4</v>
      </c>
    </row>
    <row r="109" spans="1:13" x14ac:dyDescent="0.2">
      <c r="A109" s="6">
        <v>104</v>
      </c>
      <c r="B109" s="7" t="s">
        <v>340</v>
      </c>
      <c r="C109" s="6" t="s">
        <v>341</v>
      </c>
      <c r="D109" s="8">
        <v>3.5000000000000003E-2</v>
      </c>
      <c r="E109" s="8">
        <v>0.33200000000000002</v>
      </c>
      <c r="F109" s="8">
        <v>0.20399999999999999</v>
      </c>
      <c r="G109" s="8">
        <v>0.48</v>
      </c>
      <c r="H109" s="8">
        <v>1.35</v>
      </c>
      <c r="I109" s="8">
        <v>2.44</v>
      </c>
      <c r="J109" s="8">
        <v>1.1299999999999999</v>
      </c>
      <c r="K109" s="8">
        <v>1.35</v>
      </c>
      <c r="L109" s="8">
        <v>1.1000000000000001</v>
      </c>
      <c r="M109" s="8">
        <v>1.58</v>
      </c>
    </row>
    <row r="110" spans="1:13" x14ac:dyDescent="0.2">
      <c r="A110" s="6">
        <v>105</v>
      </c>
      <c r="B110" s="7" t="s">
        <v>343</v>
      </c>
      <c r="C110" s="6" t="s">
        <v>344</v>
      </c>
      <c r="D110" s="8">
        <v>50.6</v>
      </c>
      <c r="E110" s="8">
        <v>59.7</v>
      </c>
      <c r="F110" s="8">
        <v>67.900000000000006</v>
      </c>
      <c r="G110" s="8">
        <v>44.8</v>
      </c>
      <c r="H110" s="8">
        <v>76.599999999999994</v>
      </c>
      <c r="I110" s="8">
        <v>62.5</v>
      </c>
      <c r="J110" s="8">
        <v>47.6</v>
      </c>
      <c r="K110" s="8">
        <v>56.9</v>
      </c>
      <c r="L110" s="8">
        <v>80.099999999999994</v>
      </c>
      <c r="M110" s="8">
        <v>88.1</v>
      </c>
    </row>
    <row r="111" spans="1:13" x14ac:dyDescent="0.2">
      <c r="A111" s="6">
        <v>106</v>
      </c>
      <c r="B111" s="7" t="s">
        <v>346</v>
      </c>
      <c r="C111" s="6" t="s">
        <v>347</v>
      </c>
      <c r="D111" s="8">
        <v>34.9</v>
      </c>
      <c r="E111" s="8">
        <v>70.5</v>
      </c>
      <c r="F111" s="8">
        <v>128.6</v>
      </c>
      <c r="G111" s="8">
        <v>-9.64</v>
      </c>
      <c r="H111" s="8">
        <v>-17.2</v>
      </c>
      <c r="I111" s="8">
        <v>171</v>
      </c>
      <c r="J111" s="8">
        <v>247</v>
      </c>
      <c r="K111" s="8">
        <v>-242.1</v>
      </c>
      <c r="L111" s="8">
        <v>-85.1</v>
      </c>
      <c r="M111" s="8">
        <v>-497.9</v>
      </c>
    </row>
    <row r="112" spans="1:13" x14ac:dyDescent="0.2">
      <c r="A112" s="6">
        <v>107</v>
      </c>
      <c r="B112" s="7" t="s">
        <v>349</v>
      </c>
      <c r="C112" s="6" t="s">
        <v>350</v>
      </c>
      <c r="D112" s="8">
        <v>-5.58</v>
      </c>
      <c r="E112" s="8">
        <v>12</v>
      </c>
      <c r="F112" s="8">
        <v>-1.27</v>
      </c>
      <c r="G112" s="8">
        <v>-2.63</v>
      </c>
      <c r="H112" s="8">
        <v>-5.33</v>
      </c>
      <c r="I112" s="8">
        <v>17</v>
      </c>
      <c r="J112" s="8">
        <v>-5.84</v>
      </c>
      <c r="K112" s="8">
        <v>11.4</v>
      </c>
      <c r="L112" s="8">
        <v>2.36</v>
      </c>
      <c r="M112" s="8">
        <v>16.899999999999999</v>
      </c>
    </row>
    <row r="113" spans="1:13" x14ac:dyDescent="0.2">
      <c r="A113" s="6">
        <v>108</v>
      </c>
      <c r="B113" s="7" t="s">
        <v>352</v>
      </c>
      <c r="C113" s="6" t="s">
        <v>353</v>
      </c>
      <c r="D113" s="8">
        <v>6.4</v>
      </c>
      <c r="E113" s="8">
        <v>14.3</v>
      </c>
      <c r="F113" s="8">
        <v>23.6</v>
      </c>
      <c r="G113" s="8">
        <v>22.2</v>
      </c>
      <c r="H113" s="8">
        <v>10.8</v>
      </c>
      <c r="I113" s="8">
        <v>20.2</v>
      </c>
      <c r="J113" s="8">
        <v>36.1</v>
      </c>
      <c r="K113" s="8">
        <v>25.7</v>
      </c>
      <c r="L113" s="8">
        <v>9.91</v>
      </c>
      <c r="M113" s="8">
        <v>5.29</v>
      </c>
    </row>
    <row r="114" spans="1:13" ht="30" x14ac:dyDescent="0.2">
      <c r="A114" s="6">
        <v>109</v>
      </c>
      <c r="B114" s="7" t="s">
        <v>355</v>
      </c>
      <c r="C114" s="6" t="s">
        <v>356</v>
      </c>
      <c r="D114" s="8">
        <v>1.7</v>
      </c>
      <c r="E114" s="8">
        <v>35.1</v>
      </c>
      <c r="F114" s="8">
        <v>-6.76</v>
      </c>
      <c r="G114" s="8">
        <v>19.600000000000001</v>
      </c>
      <c r="H114" s="8">
        <v>9.34</v>
      </c>
      <c r="I114" s="8">
        <v>24.2</v>
      </c>
      <c r="J114" s="8">
        <v>17</v>
      </c>
      <c r="K114" s="8">
        <v>15.9</v>
      </c>
      <c r="L114" s="8">
        <v>10.5</v>
      </c>
      <c r="M114" s="8">
        <v>22.7</v>
      </c>
    </row>
    <row r="115" spans="1:13" x14ac:dyDescent="0.2">
      <c r="A115" s="6">
        <v>110</v>
      </c>
      <c r="B115" s="7" t="s">
        <v>358</v>
      </c>
      <c r="C115" s="6" t="s">
        <v>359</v>
      </c>
      <c r="D115" s="8">
        <v>50.9</v>
      </c>
      <c r="E115" s="8">
        <v>38.6</v>
      </c>
      <c r="F115" s="8">
        <v>27.5</v>
      </c>
      <c r="G115" s="8">
        <v>42.8</v>
      </c>
      <c r="H115" s="8">
        <v>65.5</v>
      </c>
      <c r="I115" s="8">
        <v>63.9</v>
      </c>
      <c r="J115" s="8">
        <v>34.1</v>
      </c>
      <c r="K115" s="8">
        <v>31.1</v>
      </c>
      <c r="L115" s="8">
        <v>54.6</v>
      </c>
      <c r="M115" s="8">
        <v>75.7</v>
      </c>
    </row>
    <row r="116" spans="1:13" x14ac:dyDescent="0.2">
      <c r="A116" s="6">
        <v>111</v>
      </c>
      <c r="B116" s="7" t="s">
        <v>361</v>
      </c>
      <c r="C116" s="6" t="s">
        <v>362</v>
      </c>
      <c r="D116" s="8">
        <v>86.2</v>
      </c>
      <c r="E116" s="8">
        <v>100.8</v>
      </c>
      <c r="F116" s="8">
        <v>111.1</v>
      </c>
      <c r="G116" s="8">
        <v>103.1</v>
      </c>
      <c r="H116" s="8">
        <v>126.8</v>
      </c>
      <c r="I116" s="8">
        <v>137.80000000000001</v>
      </c>
      <c r="J116" s="8">
        <v>147.19999999999999</v>
      </c>
      <c r="K116" s="8">
        <v>40.200000000000003</v>
      </c>
      <c r="L116" s="8">
        <v>50.4</v>
      </c>
      <c r="M116" s="8">
        <v>46.9</v>
      </c>
    </row>
    <row r="117" spans="1:13" ht="30" x14ac:dyDescent="0.2">
      <c r="A117" s="6">
        <v>112</v>
      </c>
      <c r="B117" s="7" t="s">
        <v>364</v>
      </c>
      <c r="C117" s="6" t="s">
        <v>365</v>
      </c>
      <c r="D117" s="8">
        <v>24.4</v>
      </c>
      <c r="E117" s="8">
        <v>25.3</v>
      </c>
      <c r="F117" s="8">
        <v>26.4</v>
      </c>
      <c r="G117" s="8">
        <v>16.3</v>
      </c>
      <c r="H117" s="8">
        <v>28.3</v>
      </c>
      <c r="I117" s="8">
        <v>29.5</v>
      </c>
      <c r="J117" s="8">
        <v>32.799999999999997</v>
      </c>
      <c r="K117" s="8">
        <v>52.4</v>
      </c>
      <c r="L117" s="8">
        <v>54.1</v>
      </c>
      <c r="M117" s="8">
        <v>56.6</v>
      </c>
    </row>
    <row r="118" spans="1:13" x14ac:dyDescent="0.2">
      <c r="A118" s="6">
        <v>113</v>
      </c>
      <c r="B118" s="7" t="s">
        <v>367</v>
      </c>
      <c r="C118" s="6" t="s">
        <v>368</v>
      </c>
      <c r="D118" s="8">
        <v>1.78</v>
      </c>
      <c r="E118" s="8">
        <v>1.42</v>
      </c>
      <c r="F118" s="8">
        <v>-6.34</v>
      </c>
      <c r="G118" s="8">
        <v>-2.17</v>
      </c>
      <c r="H118" s="8">
        <v>3.49</v>
      </c>
      <c r="I118" s="8">
        <v>8.6999999999999993</v>
      </c>
      <c r="J118" s="8">
        <v>9.8800000000000008</v>
      </c>
      <c r="K118" s="8">
        <v>21.2</v>
      </c>
      <c r="L118" s="8">
        <v>41.8</v>
      </c>
      <c r="M118" s="8">
        <v>20.7</v>
      </c>
    </row>
    <row r="119" spans="1:13" x14ac:dyDescent="0.2">
      <c r="A119" s="6">
        <v>114</v>
      </c>
      <c r="B119" s="7" t="s">
        <v>370</v>
      </c>
      <c r="C119" s="6" t="s">
        <v>371</v>
      </c>
      <c r="D119" s="8">
        <v>65.5</v>
      </c>
      <c r="E119" s="8">
        <v>51.8</v>
      </c>
      <c r="F119" s="8">
        <v>19.2</v>
      </c>
      <c r="G119" s="8">
        <v>11.2</v>
      </c>
      <c r="H119" s="8">
        <v>-63</v>
      </c>
      <c r="I119" s="8">
        <v>25.2</v>
      </c>
      <c r="J119" s="8">
        <v>32</v>
      </c>
      <c r="K119" s="8">
        <v>44.6</v>
      </c>
      <c r="L119" s="8">
        <v>-48.6</v>
      </c>
      <c r="M119" s="8">
        <v>-67.7</v>
      </c>
    </row>
    <row r="120" spans="1:13" x14ac:dyDescent="0.2">
      <c r="A120" s="6">
        <v>115</v>
      </c>
      <c r="B120" s="7" t="s">
        <v>373</v>
      </c>
      <c r="C120" s="6" t="s">
        <v>374</v>
      </c>
      <c r="D120" s="8">
        <v>10.5</v>
      </c>
      <c r="E120" s="8">
        <v>-22.4</v>
      </c>
      <c r="F120" s="8">
        <v>3.04</v>
      </c>
      <c r="G120" s="8">
        <v>7.86</v>
      </c>
      <c r="H120" s="8">
        <v>-5.46</v>
      </c>
      <c r="I120" s="8">
        <v>-30.6</v>
      </c>
      <c r="J120" s="8">
        <v>-14.4</v>
      </c>
      <c r="K120" s="8">
        <v>-29.8</v>
      </c>
      <c r="L120" s="8">
        <v>57.1</v>
      </c>
      <c r="M120" s="8">
        <v>72.900000000000006</v>
      </c>
    </row>
    <row r="121" spans="1:13" ht="30" x14ac:dyDescent="0.2">
      <c r="A121" s="6">
        <v>116</v>
      </c>
      <c r="B121" s="7" t="s">
        <v>376</v>
      </c>
      <c r="C121" s="6" t="s">
        <v>377</v>
      </c>
      <c r="D121" s="8">
        <v>-2.83</v>
      </c>
      <c r="E121" s="8">
        <v>0.54400000000000004</v>
      </c>
      <c r="F121" s="8">
        <v>9.2799999999999994</v>
      </c>
      <c r="G121" s="8">
        <v>-3.4</v>
      </c>
      <c r="H121" s="8">
        <v>-2</v>
      </c>
      <c r="I121" s="8">
        <v>31.9</v>
      </c>
      <c r="J121" s="8">
        <v>7.57</v>
      </c>
      <c r="K121" s="8">
        <v>18.7</v>
      </c>
      <c r="L121" s="8">
        <v>5.7</v>
      </c>
      <c r="M121" s="8">
        <v>15.7</v>
      </c>
    </row>
    <row r="122" spans="1:13" x14ac:dyDescent="0.2">
      <c r="A122" s="6">
        <v>117</v>
      </c>
      <c r="B122" s="7" t="s">
        <v>379</v>
      </c>
      <c r="C122" s="6" t="s">
        <v>380</v>
      </c>
      <c r="D122" s="8">
        <v>3.09</v>
      </c>
      <c r="E122" s="8">
        <v>-3.55</v>
      </c>
      <c r="F122" s="8">
        <v>-3.5</v>
      </c>
      <c r="G122" s="8">
        <v>-3.88</v>
      </c>
      <c r="H122" s="8">
        <v>1.49</v>
      </c>
      <c r="I122" s="8">
        <v>4.32</v>
      </c>
      <c r="J122" s="8">
        <v>6.58</v>
      </c>
      <c r="K122" s="8">
        <v>11.8</v>
      </c>
      <c r="L122" s="8">
        <v>-0.11799999999999999</v>
      </c>
      <c r="M122" s="8">
        <v>2.59</v>
      </c>
    </row>
    <row r="123" spans="1:13" x14ac:dyDescent="0.2">
      <c r="A123" s="6">
        <v>118</v>
      </c>
      <c r="B123" s="7" t="s">
        <v>382</v>
      </c>
      <c r="C123" s="6" t="s">
        <v>383</v>
      </c>
      <c r="D123" s="8">
        <v>8.19</v>
      </c>
      <c r="E123" s="8">
        <v>21.8</v>
      </c>
      <c r="F123" s="8">
        <v>26.3</v>
      </c>
      <c r="G123" s="8">
        <v>30.5</v>
      </c>
      <c r="H123" s="8">
        <v>24.8</v>
      </c>
      <c r="I123" s="8">
        <v>42.1</v>
      </c>
      <c r="J123" s="8">
        <v>53.5</v>
      </c>
      <c r="K123" s="8">
        <v>61.3</v>
      </c>
      <c r="L123" s="8">
        <v>29.7</v>
      </c>
      <c r="M123" s="8">
        <v>41.9</v>
      </c>
    </row>
    <row r="124" spans="1:13" x14ac:dyDescent="0.2">
      <c r="A124" s="6">
        <v>119</v>
      </c>
      <c r="B124" s="7" t="s">
        <v>385</v>
      </c>
      <c r="C124" s="6" t="s">
        <v>386</v>
      </c>
      <c r="D124" s="8">
        <v>-2.56</v>
      </c>
      <c r="E124" s="8">
        <v>15.3</v>
      </c>
      <c r="F124" s="8">
        <v>-28.1</v>
      </c>
      <c r="G124" s="8">
        <v>10.5</v>
      </c>
      <c r="H124" s="8">
        <v>49.1</v>
      </c>
      <c r="I124" s="8">
        <v>60.5</v>
      </c>
      <c r="J124" s="8">
        <v>-64.7</v>
      </c>
      <c r="K124" s="8">
        <v>16.2</v>
      </c>
      <c r="L124" s="8">
        <v>76.400000000000006</v>
      </c>
      <c r="M124" s="8">
        <v>93.3</v>
      </c>
    </row>
    <row r="125" spans="1:13" x14ac:dyDescent="0.2">
      <c r="A125" s="6">
        <v>120</v>
      </c>
      <c r="B125" s="7" t="s">
        <v>388</v>
      </c>
      <c r="C125" s="6" t="s">
        <v>389</v>
      </c>
      <c r="D125" s="8">
        <v>14.3</v>
      </c>
      <c r="E125" s="8">
        <v>18.399999999999999</v>
      </c>
      <c r="F125" s="8">
        <v>21.5</v>
      </c>
      <c r="G125" s="8">
        <v>21.1</v>
      </c>
      <c r="H125" s="8">
        <v>18.8</v>
      </c>
      <c r="I125" s="8">
        <v>34.799999999999997</v>
      </c>
      <c r="J125" s="8">
        <v>31.1</v>
      </c>
      <c r="K125" s="8">
        <v>28</v>
      </c>
      <c r="L125" s="8">
        <v>18.600000000000001</v>
      </c>
      <c r="M125" s="8">
        <v>10.199999999999999</v>
      </c>
    </row>
    <row r="126" spans="1:13" ht="30" x14ac:dyDescent="0.2">
      <c r="A126" s="6">
        <v>121</v>
      </c>
      <c r="B126" s="7" t="s">
        <v>391</v>
      </c>
      <c r="C126" s="6" t="s">
        <v>392</v>
      </c>
      <c r="D126" s="8">
        <v>4.46</v>
      </c>
      <c r="E126" s="8">
        <v>5.17</v>
      </c>
      <c r="F126" s="8">
        <v>4.3</v>
      </c>
      <c r="G126" s="8">
        <v>-4.9000000000000004</v>
      </c>
      <c r="H126" s="8">
        <v>-1.76</v>
      </c>
      <c r="I126" s="8">
        <v>-8.74</v>
      </c>
      <c r="J126" s="8">
        <v>-0.629</v>
      </c>
      <c r="K126" s="8">
        <v>8.73</v>
      </c>
      <c r="L126" s="8">
        <v>17.600000000000001</v>
      </c>
      <c r="M126" s="8">
        <v>11.1</v>
      </c>
    </row>
    <row r="127" spans="1:13" x14ac:dyDescent="0.2">
      <c r="A127" s="6">
        <v>122</v>
      </c>
      <c r="B127" s="7" t="s">
        <v>394</v>
      </c>
      <c r="C127" s="6" t="s">
        <v>395</v>
      </c>
      <c r="D127" s="8">
        <v>-0.70599999999999996</v>
      </c>
      <c r="E127" s="8">
        <v>6.0000000000000001E-3</v>
      </c>
      <c r="F127" s="8">
        <v>0.90800000000000003</v>
      </c>
      <c r="G127" s="8">
        <v>0.30499999999999999</v>
      </c>
      <c r="H127" s="8">
        <v>1.5</v>
      </c>
      <c r="I127" s="8">
        <v>1.68</v>
      </c>
      <c r="J127" s="8">
        <v>1.96</v>
      </c>
      <c r="K127" s="8">
        <v>2.19</v>
      </c>
      <c r="L127" s="8">
        <v>1.86</v>
      </c>
      <c r="M127" s="8">
        <v>1.75</v>
      </c>
    </row>
    <row r="128" spans="1:13" x14ac:dyDescent="0.2">
      <c r="A128" s="6">
        <v>123</v>
      </c>
      <c r="B128" s="7" t="s">
        <v>397</v>
      </c>
      <c r="C128" s="6" t="s">
        <v>398</v>
      </c>
      <c r="D128" s="8">
        <v>16.100000000000001</v>
      </c>
      <c r="E128" s="8">
        <v>63</v>
      </c>
      <c r="F128" s="8">
        <v>-48.1</v>
      </c>
      <c r="G128" s="8">
        <v>-17.7</v>
      </c>
      <c r="H128" s="8">
        <v>80.900000000000006</v>
      </c>
      <c r="I128" s="8">
        <v>296.10000000000002</v>
      </c>
      <c r="J128" s="8">
        <v>296.2</v>
      </c>
      <c r="K128" s="8">
        <v>48.5</v>
      </c>
      <c r="L128" s="8">
        <v>53.1</v>
      </c>
      <c r="M128" s="8">
        <v>0.219</v>
      </c>
    </row>
    <row r="129" spans="1:13" x14ac:dyDescent="0.2">
      <c r="A129" s="6">
        <v>124</v>
      </c>
      <c r="B129" s="7" t="s">
        <v>400</v>
      </c>
      <c r="C129" s="6" t="s">
        <v>401</v>
      </c>
      <c r="D129" s="8">
        <v>3.17</v>
      </c>
      <c r="E129" s="8">
        <v>2.63</v>
      </c>
      <c r="F129" s="8">
        <v>3.63</v>
      </c>
      <c r="G129" s="8">
        <v>3</v>
      </c>
      <c r="H129" s="8">
        <v>26.9</v>
      </c>
      <c r="I129" s="8">
        <v>6.76</v>
      </c>
      <c r="J129" s="8">
        <v>3.28</v>
      </c>
      <c r="K129" s="8">
        <v>4.1900000000000004</v>
      </c>
      <c r="L129" s="8">
        <v>3.93</v>
      </c>
      <c r="M129" s="8">
        <v>3.53</v>
      </c>
    </row>
    <row r="130" spans="1:13" ht="30" x14ac:dyDescent="0.2">
      <c r="A130" s="6">
        <v>125</v>
      </c>
      <c r="B130" s="7" t="s">
        <v>403</v>
      </c>
      <c r="C130" s="6" t="s">
        <v>404</v>
      </c>
      <c r="D130" s="8">
        <v>5.9</v>
      </c>
      <c r="E130" s="8">
        <v>5.0599999999999996</v>
      </c>
      <c r="F130" s="8">
        <v>3.54</v>
      </c>
      <c r="G130" s="8">
        <v>6.79</v>
      </c>
      <c r="H130" s="8">
        <v>4.47</v>
      </c>
      <c r="I130" s="8">
        <v>9.1999999999999993</v>
      </c>
      <c r="J130" s="8">
        <v>12.5</v>
      </c>
      <c r="K130" s="8">
        <v>12.3</v>
      </c>
      <c r="L130" s="8">
        <v>18.600000000000001</v>
      </c>
      <c r="M130" s="8">
        <v>21.3</v>
      </c>
    </row>
    <row r="131" spans="1:13" x14ac:dyDescent="0.2">
      <c r="A131" s="6">
        <v>126</v>
      </c>
      <c r="B131" s="7" t="s">
        <v>406</v>
      </c>
      <c r="C131" s="6" t="s">
        <v>407</v>
      </c>
      <c r="D131" s="8">
        <v>2.66</v>
      </c>
      <c r="E131" s="8">
        <v>0.97499999999999998</v>
      </c>
      <c r="F131" s="8">
        <v>3.04</v>
      </c>
      <c r="G131" s="8">
        <v>2.3199999999999998</v>
      </c>
      <c r="H131" s="8">
        <v>-0.89500000000000002</v>
      </c>
      <c r="I131" s="8">
        <v>7.28</v>
      </c>
      <c r="J131" s="8">
        <v>8.4600000000000009</v>
      </c>
      <c r="K131" s="8">
        <v>9.34</v>
      </c>
      <c r="L131" s="8">
        <v>2.89</v>
      </c>
      <c r="M131" s="8">
        <v>-2.5299999999999998</v>
      </c>
    </row>
    <row r="132" spans="1:13" x14ac:dyDescent="0.2">
      <c r="A132" s="6">
        <v>127</v>
      </c>
      <c r="B132" s="7" t="s">
        <v>409</v>
      </c>
      <c r="C132" s="6" t="s">
        <v>410</v>
      </c>
      <c r="D132" s="8">
        <v>19.600000000000001</v>
      </c>
      <c r="E132" s="8">
        <v>37.200000000000003</v>
      </c>
      <c r="F132" s="8">
        <v>11.6</v>
      </c>
      <c r="G132" s="8">
        <v>14.5</v>
      </c>
      <c r="H132" s="8">
        <v>16.100000000000001</v>
      </c>
      <c r="I132" s="8">
        <v>33.200000000000003</v>
      </c>
      <c r="J132" s="8">
        <v>41.4</v>
      </c>
      <c r="K132" s="8">
        <v>33.4</v>
      </c>
      <c r="L132" s="8">
        <v>33</v>
      </c>
      <c r="M132" s="8">
        <v>51.5</v>
      </c>
    </row>
    <row r="133" spans="1:13" x14ac:dyDescent="0.2">
      <c r="A133" s="6">
        <v>128</v>
      </c>
      <c r="B133" s="7" t="s">
        <v>412</v>
      </c>
      <c r="C133" s="6" t="s">
        <v>413</v>
      </c>
      <c r="D133" s="8">
        <v>19.8</v>
      </c>
      <c r="E133" s="8">
        <v>18.899999999999999</v>
      </c>
      <c r="F133" s="8">
        <v>20.100000000000001</v>
      </c>
      <c r="G133" s="8">
        <v>20.5</v>
      </c>
      <c r="H133" s="8">
        <v>24.3</v>
      </c>
      <c r="I133" s="8">
        <v>22</v>
      </c>
      <c r="J133" s="8">
        <v>17.7</v>
      </c>
      <c r="K133" s="8">
        <v>15.4</v>
      </c>
      <c r="L133" s="8">
        <v>18.3</v>
      </c>
      <c r="M133" s="8">
        <v>21.3</v>
      </c>
    </row>
    <row r="134" spans="1:13" x14ac:dyDescent="0.2">
      <c r="A134" s="6">
        <v>129</v>
      </c>
      <c r="B134" s="7" t="s">
        <v>415</v>
      </c>
      <c r="C134" s="6" t="s">
        <v>416</v>
      </c>
      <c r="D134" s="8">
        <v>-1.37</v>
      </c>
      <c r="E134" s="8">
        <v>2.69</v>
      </c>
      <c r="F134" s="8">
        <v>3.6</v>
      </c>
      <c r="G134" s="8">
        <v>2.96</v>
      </c>
      <c r="H134" s="8">
        <v>-3.02</v>
      </c>
      <c r="I134" s="8">
        <v>-4.1500000000000004</v>
      </c>
      <c r="J134" s="8">
        <v>3.52</v>
      </c>
      <c r="K134" s="8">
        <v>2.13</v>
      </c>
      <c r="L134" s="8">
        <v>0.35499999999999998</v>
      </c>
      <c r="M134" s="8">
        <v>2.81</v>
      </c>
    </row>
    <row r="135" spans="1:13" x14ac:dyDescent="0.2">
      <c r="A135" s="6">
        <v>130</v>
      </c>
      <c r="B135" s="7" t="s">
        <v>418</v>
      </c>
      <c r="C135" s="6" t="s">
        <v>419</v>
      </c>
      <c r="D135" s="8">
        <v>0.10100000000000001</v>
      </c>
      <c r="E135" s="8">
        <v>-0.26400000000000001</v>
      </c>
      <c r="F135" s="8">
        <v>6.0000000000000001E-3</v>
      </c>
      <c r="G135" s="8">
        <v>0.23</v>
      </c>
      <c r="H135" s="8">
        <v>0.27400000000000002</v>
      </c>
      <c r="I135" s="8">
        <v>0.84699999999999998</v>
      </c>
      <c r="J135" s="8">
        <v>3.21</v>
      </c>
      <c r="K135" s="8">
        <v>1.62</v>
      </c>
      <c r="L135" s="8">
        <v>1.4</v>
      </c>
      <c r="M135" s="8">
        <v>1.5</v>
      </c>
    </row>
    <row r="136" spans="1:13" x14ac:dyDescent="0.2">
      <c r="A136" s="6">
        <v>131</v>
      </c>
      <c r="B136" s="7" t="s">
        <v>421</v>
      </c>
      <c r="C136" s="6" t="s">
        <v>422</v>
      </c>
      <c r="D136" s="8">
        <v>-27.5</v>
      </c>
      <c r="E136" s="8">
        <v>-8.0299999999999994</v>
      </c>
      <c r="F136" s="8">
        <v>10.4</v>
      </c>
      <c r="G136" s="8">
        <v>16.5</v>
      </c>
      <c r="H136" s="8">
        <v>14.8</v>
      </c>
      <c r="I136" s="8">
        <v>-0.27300000000000002</v>
      </c>
      <c r="J136" s="8">
        <v>99.3</v>
      </c>
      <c r="K136" s="8">
        <v>60.7</v>
      </c>
      <c r="L136" s="8">
        <v>3.43</v>
      </c>
      <c r="M136" s="8">
        <v>4.8499999999999996</v>
      </c>
    </row>
    <row r="137" spans="1:13" ht="30" x14ac:dyDescent="0.2">
      <c r="A137" s="6">
        <v>132</v>
      </c>
      <c r="B137" s="7" t="s">
        <v>424</v>
      </c>
      <c r="C137" s="6" t="s">
        <v>425</v>
      </c>
      <c r="D137" s="8">
        <v>-1.22</v>
      </c>
      <c r="E137" s="8">
        <v>1.04</v>
      </c>
      <c r="F137" s="8">
        <v>2.48</v>
      </c>
      <c r="G137" s="8">
        <v>0.63500000000000001</v>
      </c>
      <c r="H137" s="8">
        <v>-2.95</v>
      </c>
      <c r="I137" s="8">
        <v>1.4</v>
      </c>
      <c r="J137" s="8">
        <v>3.25</v>
      </c>
      <c r="K137" s="8">
        <v>1.98</v>
      </c>
      <c r="L137" s="8">
        <v>1.96</v>
      </c>
      <c r="M137" s="8">
        <v>2.84</v>
      </c>
    </row>
    <row r="138" spans="1:13" ht="30" x14ac:dyDescent="0.2">
      <c r="A138" s="6">
        <v>133</v>
      </c>
      <c r="B138" s="7" t="s">
        <v>427</v>
      </c>
      <c r="C138" s="6" t="s">
        <v>428</v>
      </c>
      <c r="D138" s="8">
        <v>20.399999999999999</v>
      </c>
      <c r="E138" s="8">
        <v>175.7</v>
      </c>
      <c r="F138" s="8">
        <v>12.2</v>
      </c>
      <c r="G138" s="8">
        <v>-19.7</v>
      </c>
      <c r="H138" s="8">
        <v>-3.91</v>
      </c>
      <c r="I138" s="8">
        <v>29.3</v>
      </c>
      <c r="J138" s="8">
        <v>18.100000000000001</v>
      </c>
      <c r="K138" s="8">
        <v>-15.4</v>
      </c>
      <c r="L138" s="8">
        <v>-148.9</v>
      </c>
      <c r="M138" s="8">
        <v>-79.2</v>
      </c>
    </row>
    <row r="139" spans="1:13" ht="30" x14ac:dyDescent="0.2">
      <c r="A139" s="6">
        <v>134</v>
      </c>
      <c r="B139" s="7" t="s">
        <v>430</v>
      </c>
      <c r="C139" s="6" t="s">
        <v>431</v>
      </c>
      <c r="D139" s="8">
        <v>18.8</v>
      </c>
      <c r="E139" s="8">
        <v>25.2</v>
      </c>
      <c r="F139" s="8">
        <v>38.1</v>
      </c>
      <c r="G139" s="8">
        <v>48.3</v>
      </c>
      <c r="H139" s="8">
        <v>33.799999999999997</v>
      </c>
      <c r="I139" s="8">
        <v>38.1</v>
      </c>
      <c r="J139" s="8">
        <v>47.3</v>
      </c>
      <c r="K139" s="8">
        <v>50.6</v>
      </c>
      <c r="L139" s="8">
        <v>53</v>
      </c>
      <c r="M139" s="8">
        <v>54.4</v>
      </c>
    </row>
    <row r="140" spans="1:13" x14ac:dyDescent="0.2">
      <c r="A140" s="6">
        <v>135</v>
      </c>
      <c r="B140" s="7" t="s">
        <v>433</v>
      </c>
      <c r="C140" s="6" t="s">
        <v>434</v>
      </c>
      <c r="D140" s="8">
        <v>38.799999999999997</v>
      </c>
      <c r="E140" s="8">
        <v>37.4</v>
      </c>
      <c r="F140" s="8">
        <v>50.1</v>
      </c>
      <c r="G140" s="8">
        <v>54.5</v>
      </c>
      <c r="H140" s="8">
        <v>80.7</v>
      </c>
      <c r="I140" s="8">
        <v>73.7</v>
      </c>
      <c r="J140" s="8">
        <v>67.400000000000006</v>
      </c>
      <c r="K140" s="8">
        <v>54.8</v>
      </c>
      <c r="L140" s="8">
        <v>58.8</v>
      </c>
      <c r="M140" s="8">
        <v>51.1</v>
      </c>
    </row>
    <row r="141" spans="1:13" x14ac:dyDescent="0.2">
      <c r="A141" s="6">
        <v>136</v>
      </c>
      <c r="B141" s="7" t="s">
        <v>436</v>
      </c>
      <c r="C141" s="6" t="s">
        <v>437</v>
      </c>
      <c r="D141" s="8">
        <v>83.7</v>
      </c>
      <c r="E141" s="8">
        <v>60.3</v>
      </c>
      <c r="F141" s="8">
        <v>90.3</v>
      </c>
      <c r="G141" s="8">
        <v>-13</v>
      </c>
      <c r="H141" s="8">
        <v>-361.7</v>
      </c>
      <c r="I141" s="8">
        <v>26.2</v>
      </c>
      <c r="J141" s="8">
        <v>174.8</v>
      </c>
      <c r="K141" s="8">
        <v>156.4</v>
      </c>
      <c r="L141" s="8">
        <v>158.1</v>
      </c>
      <c r="M141" s="8">
        <v>21</v>
      </c>
    </row>
    <row r="142" spans="1:13" x14ac:dyDescent="0.2">
      <c r="A142" s="6">
        <v>137</v>
      </c>
      <c r="B142" s="7" t="s">
        <v>439</v>
      </c>
      <c r="C142" s="6" t="s">
        <v>440</v>
      </c>
      <c r="D142" s="8">
        <v>32.799999999999997</v>
      </c>
      <c r="E142" s="8">
        <v>33.299999999999997</v>
      </c>
      <c r="F142" s="8">
        <v>58</v>
      </c>
      <c r="G142" s="8">
        <v>130.9</v>
      </c>
      <c r="H142" s="8">
        <v>56</v>
      </c>
      <c r="I142" s="8">
        <v>75.2</v>
      </c>
      <c r="J142" s="8">
        <v>75.400000000000006</v>
      </c>
      <c r="K142" s="8">
        <v>61.1</v>
      </c>
      <c r="L142" s="8">
        <v>50.4</v>
      </c>
      <c r="M142" s="8">
        <v>34.799999999999997</v>
      </c>
    </row>
    <row r="143" spans="1:13" x14ac:dyDescent="0.2">
      <c r="A143" s="6">
        <v>138</v>
      </c>
      <c r="B143" s="7" t="s">
        <v>442</v>
      </c>
      <c r="C143" s="6" t="s">
        <v>443</v>
      </c>
      <c r="D143" s="8">
        <v>2.2200000000000002</v>
      </c>
      <c r="E143" s="8">
        <v>1.05</v>
      </c>
      <c r="F143" s="8">
        <v>8.7100000000000009</v>
      </c>
      <c r="G143" s="8">
        <v>14</v>
      </c>
      <c r="H143" s="8">
        <v>18.3</v>
      </c>
      <c r="I143" s="8">
        <v>31.6</v>
      </c>
      <c r="J143" s="8">
        <v>41.4</v>
      </c>
      <c r="K143" s="8">
        <v>52.8</v>
      </c>
      <c r="L143" s="8">
        <v>45.5</v>
      </c>
      <c r="M143" s="8">
        <v>51.2</v>
      </c>
    </row>
    <row r="144" spans="1:13" x14ac:dyDescent="0.2">
      <c r="A144" s="6">
        <v>139</v>
      </c>
      <c r="B144" s="7" t="s">
        <v>445</v>
      </c>
      <c r="C144" s="6" t="s">
        <v>446</v>
      </c>
      <c r="D144" s="8">
        <v>-0.218</v>
      </c>
      <c r="E144" s="8">
        <v>-2.56</v>
      </c>
      <c r="F144" s="8">
        <v>-7.61</v>
      </c>
      <c r="G144" s="8">
        <v>2.38</v>
      </c>
      <c r="H144" s="8">
        <v>3.05</v>
      </c>
      <c r="I144" s="8">
        <v>10</v>
      </c>
      <c r="J144" s="8">
        <v>5.2</v>
      </c>
      <c r="K144" s="8">
        <v>4.29</v>
      </c>
      <c r="L144" s="8">
        <v>8.39</v>
      </c>
      <c r="M144" s="8">
        <v>6.76</v>
      </c>
    </row>
    <row r="145" spans="1:13" ht="30" x14ac:dyDescent="0.2">
      <c r="A145" s="6">
        <v>140</v>
      </c>
      <c r="B145" s="7" t="s">
        <v>448</v>
      </c>
      <c r="C145" s="6" t="s">
        <v>449</v>
      </c>
      <c r="D145" s="8">
        <v>9.7799999999999994</v>
      </c>
      <c r="E145" s="8">
        <v>10</v>
      </c>
      <c r="F145" s="8">
        <v>9.68</v>
      </c>
      <c r="G145" s="8">
        <v>9.09</v>
      </c>
      <c r="H145" s="8">
        <v>21.8</v>
      </c>
      <c r="I145" s="8">
        <v>25.9</v>
      </c>
      <c r="J145" s="8">
        <v>16.899999999999999</v>
      </c>
      <c r="K145" s="8">
        <v>26.6</v>
      </c>
      <c r="L145" s="8">
        <v>36.1</v>
      </c>
      <c r="M145" s="8">
        <v>47.8</v>
      </c>
    </row>
    <row r="146" spans="1:13" x14ac:dyDescent="0.2">
      <c r="A146" s="6">
        <v>141</v>
      </c>
      <c r="B146" s="7" t="s">
        <v>451</v>
      </c>
      <c r="C146" s="6" t="s">
        <v>452</v>
      </c>
      <c r="D146" s="8">
        <v>16.100000000000001</v>
      </c>
      <c r="E146" s="8">
        <v>10.3</v>
      </c>
      <c r="F146" s="8">
        <v>11</v>
      </c>
      <c r="G146" s="8">
        <v>9.09</v>
      </c>
      <c r="H146" s="8">
        <v>20.3</v>
      </c>
      <c r="I146" s="8">
        <v>47.4</v>
      </c>
      <c r="J146" s="8">
        <v>-28.7</v>
      </c>
      <c r="K146" s="8">
        <v>6.21</v>
      </c>
      <c r="L146" s="8">
        <v>-53.7</v>
      </c>
      <c r="M146" s="8">
        <v>-3.66</v>
      </c>
    </row>
    <row r="147" spans="1:13" x14ac:dyDescent="0.2">
      <c r="A147" s="6">
        <v>142</v>
      </c>
      <c r="B147" s="7" t="s">
        <v>454</v>
      </c>
      <c r="C147" s="6" t="s">
        <v>455</v>
      </c>
      <c r="D147" s="8">
        <v>21.5</v>
      </c>
      <c r="E147" s="8">
        <v>27.4</v>
      </c>
      <c r="F147" s="8">
        <v>23.9</v>
      </c>
      <c r="G147" s="8">
        <v>23.3</v>
      </c>
      <c r="H147" s="8">
        <v>5.47</v>
      </c>
      <c r="I147" s="8">
        <v>41.5</v>
      </c>
      <c r="J147" s="8">
        <v>40.799999999999997</v>
      </c>
      <c r="K147" s="8">
        <v>34.200000000000003</v>
      </c>
      <c r="L147" s="8">
        <v>29.6</v>
      </c>
      <c r="M147" s="8">
        <v>12.9</v>
      </c>
    </row>
    <row r="148" spans="1:13" x14ac:dyDescent="0.2">
      <c r="A148" s="6">
        <v>143</v>
      </c>
      <c r="B148" s="7" t="s">
        <v>457</v>
      </c>
      <c r="C148" s="6" t="s">
        <v>458</v>
      </c>
      <c r="D148" s="8">
        <v>-22</v>
      </c>
      <c r="E148" s="8">
        <v>11.3</v>
      </c>
      <c r="F148" s="8">
        <v>-170.5</v>
      </c>
      <c r="G148" s="8">
        <v>-56.6</v>
      </c>
      <c r="H148" s="8">
        <v>-179.7</v>
      </c>
      <c r="I148" s="8">
        <v>13.6</v>
      </c>
      <c r="J148" s="8">
        <v>58.5</v>
      </c>
      <c r="K148" s="8">
        <v>91.6</v>
      </c>
      <c r="L148" s="8">
        <v>76.099999999999994</v>
      </c>
      <c r="M148" s="8">
        <v>81.8</v>
      </c>
    </row>
    <row r="149" spans="1:13" x14ac:dyDescent="0.2">
      <c r="A149" s="6">
        <v>144</v>
      </c>
      <c r="B149" s="7" t="s">
        <v>460</v>
      </c>
      <c r="C149" s="6" t="s">
        <v>461</v>
      </c>
      <c r="D149" s="8">
        <v>35</v>
      </c>
      <c r="E149" s="8">
        <v>26.2</v>
      </c>
      <c r="F149" s="8">
        <v>32.299999999999997</v>
      </c>
      <c r="G149" s="8">
        <v>2.0299999999999998</v>
      </c>
      <c r="H149" s="8">
        <v>26.6</v>
      </c>
      <c r="I149" s="8">
        <v>81.599999999999994</v>
      </c>
      <c r="J149" s="8">
        <v>113</v>
      </c>
      <c r="K149" s="8">
        <v>22.4</v>
      </c>
      <c r="L149" s="8">
        <v>19.3</v>
      </c>
      <c r="M149" s="8">
        <v>47.5</v>
      </c>
    </row>
    <row r="150" spans="1:13" x14ac:dyDescent="0.2">
      <c r="A150" s="6">
        <v>145</v>
      </c>
      <c r="B150" s="7" t="s">
        <v>463</v>
      </c>
      <c r="C150" s="6" t="s">
        <v>464</v>
      </c>
      <c r="D150" s="8">
        <v>245.3</v>
      </c>
      <c r="E150" s="8">
        <v>576</v>
      </c>
      <c r="F150" s="8">
        <v>341</v>
      </c>
      <c r="G150" s="8">
        <v>47</v>
      </c>
      <c r="H150" s="8">
        <v>-2414</v>
      </c>
      <c r="I150" s="8">
        <v>-414</v>
      </c>
      <c r="J150" s="8">
        <v>2652</v>
      </c>
      <c r="K150" s="8">
        <v>-291</v>
      </c>
      <c r="L150" s="8">
        <v>310</v>
      </c>
      <c r="M150" s="8">
        <v>-112</v>
      </c>
    </row>
    <row r="151" spans="1:13" x14ac:dyDescent="0.2">
      <c r="A151" s="6">
        <v>146</v>
      </c>
      <c r="B151" s="7" t="s">
        <v>466</v>
      </c>
      <c r="C151" s="6" t="s">
        <v>467</v>
      </c>
      <c r="D151" s="8">
        <v>5.99</v>
      </c>
      <c r="E151" s="8">
        <v>3.62</v>
      </c>
      <c r="F151" s="8">
        <v>5.48</v>
      </c>
      <c r="G151" s="8">
        <v>8.68</v>
      </c>
      <c r="H151" s="8">
        <v>5.65</v>
      </c>
      <c r="I151" s="8">
        <v>5.49</v>
      </c>
      <c r="J151" s="8">
        <v>9.1300000000000008</v>
      </c>
      <c r="K151" s="8">
        <v>10.199999999999999</v>
      </c>
      <c r="L151" s="8">
        <v>8.25</v>
      </c>
      <c r="M151" s="8">
        <v>8.09</v>
      </c>
    </row>
    <row r="152" spans="1:13" x14ac:dyDescent="0.2">
      <c r="A152" s="6">
        <v>147</v>
      </c>
      <c r="B152" s="7" t="s">
        <v>469</v>
      </c>
      <c r="C152" s="6" t="s">
        <v>470</v>
      </c>
      <c r="D152" s="8">
        <v>-1.55</v>
      </c>
      <c r="E152" s="8">
        <v>-1.47</v>
      </c>
      <c r="F152" s="8">
        <v>1.1499999999999999</v>
      </c>
      <c r="G152" s="8">
        <v>9.94</v>
      </c>
      <c r="H152" s="8">
        <v>1.83</v>
      </c>
      <c r="I152" s="8">
        <v>20.8</v>
      </c>
      <c r="J152" s="8">
        <v>8.26</v>
      </c>
      <c r="K152" s="8">
        <v>6.61</v>
      </c>
      <c r="L152" s="8">
        <v>13.5</v>
      </c>
      <c r="M152" s="8">
        <v>13.7</v>
      </c>
    </row>
    <row r="153" spans="1:13" x14ac:dyDescent="0.2">
      <c r="A153" s="6">
        <v>148</v>
      </c>
      <c r="B153" s="7" t="s">
        <v>472</v>
      </c>
      <c r="C153" s="6" t="s">
        <v>473</v>
      </c>
      <c r="D153" s="8">
        <v>29.3</v>
      </c>
      <c r="E153" s="8">
        <v>29.1</v>
      </c>
      <c r="F153" s="8">
        <v>23.4</v>
      </c>
      <c r="G153" s="8">
        <v>66.599999999999994</v>
      </c>
      <c r="H153" s="8">
        <v>122</v>
      </c>
      <c r="I153" s="8">
        <v>85.2</v>
      </c>
      <c r="J153" s="8">
        <v>63.4</v>
      </c>
      <c r="K153" s="8">
        <v>89.2</v>
      </c>
      <c r="L153" s="8">
        <v>52.4</v>
      </c>
      <c r="M153" s="8">
        <v>56</v>
      </c>
    </row>
    <row r="154" spans="1:13" ht="30" x14ac:dyDescent="0.2">
      <c r="A154" s="6">
        <v>149</v>
      </c>
      <c r="B154" s="7" t="s">
        <v>475</v>
      </c>
      <c r="C154" s="6" t="s">
        <v>476</v>
      </c>
      <c r="D154" s="8">
        <v>21.2</v>
      </c>
      <c r="E154" s="8">
        <v>21.7</v>
      </c>
      <c r="F154" s="8">
        <v>16</v>
      </c>
      <c r="G154" s="8">
        <v>33.1</v>
      </c>
      <c r="H154" s="8">
        <v>34.799999999999997</v>
      </c>
      <c r="I154" s="8">
        <v>59.7</v>
      </c>
      <c r="J154" s="8">
        <v>40.9</v>
      </c>
      <c r="K154" s="8">
        <v>73.7</v>
      </c>
      <c r="L154" s="8">
        <v>66.099999999999994</v>
      </c>
      <c r="M154" s="8">
        <v>64.599999999999994</v>
      </c>
    </row>
    <row r="155" spans="1:13" ht="30" x14ac:dyDescent="0.2">
      <c r="A155" s="6">
        <v>150</v>
      </c>
      <c r="B155" s="7" t="s">
        <v>478</v>
      </c>
      <c r="C155" s="6" t="s">
        <v>479</v>
      </c>
      <c r="D155" s="8">
        <v>24.3</v>
      </c>
      <c r="E155" s="8">
        <v>25</v>
      </c>
      <c r="F155" s="8">
        <v>30.3</v>
      </c>
      <c r="G155" s="8">
        <v>30.4</v>
      </c>
      <c r="H155" s="8">
        <v>25.2</v>
      </c>
      <c r="I155" s="8">
        <v>28.6</v>
      </c>
      <c r="J155" s="8">
        <v>34.9</v>
      </c>
      <c r="K155" s="8">
        <v>30.1</v>
      </c>
      <c r="L155" s="8">
        <v>19.2</v>
      </c>
      <c r="M155" s="8">
        <v>35.1</v>
      </c>
    </row>
    <row r="158" spans="1:13" ht="16" x14ac:dyDescent="0.2">
      <c r="B158" s="3" t="s">
        <v>1106</v>
      </c>
    </row>
    <row r="159" spans="1:13" ht="27.75" customHeight="1" x14ac:dyDescent="0.2">
      <c r="A159" s="5" t="s">
        <v>8</v>
      </c>
      <c r="B159" s="5" t="s">
        <v>9</v>
      </c>
      <c r="C159" s="5" t="s">
        <v>10</v>
      </c>
      <c r="D159" s="5" t="s">
        <v>1107</v>
      </c>
      <c r="E159" s="5" t="s">
        <v>1108</v>
      </c>
      <c r="F159" s="5" t="s">
        <v>1109</v>
      </c>
      <c r="G159" s="5" t="s">
        <v>1110</v>
      </c>
      <c r="H159" s="5" t="s">
        <v>1111</v>
      </c>
      <c r="I159" s="5" t="s">
        <v>1112</v>
      </c>
      <c r="J159" s="5" t="s">
        <v>1113</v>
      </c>
      <c r="K159" s="5" t="s">
        <v>1114</v>
      </c>
      <c r="L159" s="5" t="s">
        <v>1115</v>
      </c>
      <c r="M159" s="5" t="s">
        <v>1116</v>
      </c>
    </row>
    <row r="160" spans="1:13" x14ac:dyDescent="0.2">
      <c r="A160" s="6">
        <v>1</v>
      </c>
      <c r="B160" s="7" t="s">
        <v>25</v>
      </c>
      <c r="C160" s="6" t="s">
        <v>26</v>
      </c>
      <c r="D160" s="8">
        <v>0</v>
      </c>
      <c r="E160" s="8">
        <v>0</v>
      </c>
      <c r="F160" s="8">
        <v>0</v>
      </c>
      <c r="G160" s="8">
        <v>0</v>
      </c>
      <c r="H160" s="8">
        <v>0</v>
      </c>
      <c r="I160" s="8">
        <v>0</v>
      </c>
      <c r="J160" s="8">
        <v>0</v>
      </c>
      <c r="K160" s="8">
        <v>0</v>
      </c>
      <c r="L160" s="8">
        <v>119.6</v>
      </c>
      <c r="M160" s="8">
        <v>116.6</v>
      </c>
    </row>
    <row r="161" spans="1:13" x14ac:dyDescent="0.2">
      <c r="A161" s="6">
        <v>2</v>
      </c>
      <c r="B161" s="7" t="s">
        <v>30</v>
      </c>
      <c r="C161" s="6" t="s">
        <v>31</v>
      </c>
      <c r="D161" s="8">
        <v>0</v>
      </c>
      <c r="E161" s="8">
        <v>0</v>
      </c>
      <c r="F161" s="8">
        <v>0</v>
      </c>
      <c r="G161" s="8">
        <v>0</v>
      </c>
      <c r="H161" s="8">
        <v>0</v>
      </c>
      <c r="I161" s="8">
        <v>0</v>
      </c>
      <c r="J161" s="8">
        <v>0</v>
      </c>
      <c r="K161" s="8">
        <v>0</v>
      </c>
      <c r="L161" s="8">
        <v>0</v>
      </c>
      <c r="M161" s="8">
        <v>0</v>
      </c>
    </row>
    <row r="162" spans="1:13" x14ac:dyDescent="0.2">
      <c r="A162" s="6">
        <v>3</v>
      </c>
      <c r="B162" s="7" t="s">
        <v>34</v>
      </c>
      <c r="C162" s="6" t="s">
        <v>35</v>
      </c>
      <c r="D162" s="8">
        <v>176.6</v>
      </c>
      <c r="E162" s="8">
        <v>173.5</v>
      </c>
      <c r="F162" s="8">
        <v>201.5</v>
      </c>
      <c r="G162" s="8">
        <v>403.3</v>
      </c>
      <c r="H162" s="8">
        <v>344.6</v>
      </c>
      <c r="I162" s="8">
        <v>271.5</v>
      </c>
      <c r="J162" s="8">
        <v>407.4</v>
      </c>
      <c r="K162" s="8">
        <v>557.70000000000005</v>
      </c>
      <c r="L162" s="8">
        <v>502.6</v>
      </c>
      <c r="M162" s="8">
        <v>453</v>
      </c>
    </row>
    <row r="163" spans="1:13" x14ac:dyDescent="0.2">
      <c r="A163" s="6">
        <v>4</v>
      </c>
      <c r="B163" s="7" t="s">
        <v>39</v>
      </c>
      <c r="C163" s="6" t="s">
        <v>40</v>
      </c>
      <c r="D163" s="8">
        <v>0</v>
      </c>
      <c r="E163" s="8">
        <v>0</v>
      </c>
      <c r="F163" s="8">
        <v>0</v>
      </c>
      <c r="G163" s="8">
        <v>0</v>
      </c>
      <c r="H163" s="8">
        <v>0</v>
      </c>
      <c r="I163" s="8">
        <v>0</v>
      </c>
      <c r="J163" s="8">
        <v>0</v>
      </c>
      <c r="K163" s="8">
        <v>0</v>
      </c>
      <c r="L163" s="8">
        <v>0</v>
      </c>
      <c r="M163" s="8">
        <v>0</v>
      </c>
    </row>
    <row r="164" spans="1:13" x14ac:dyDescent="0.2">
      <c r="A164" s="6">
        <v>5</v>
      </c>
      <c r="B164" s="7" t="s">
        <v>42</v>
      </c>
      <c r="C164" s="6" t="s">
        <v>43</v>
      </c>
      <c r="D164" s="8">
        <v>32.9</v>
      </c>
      <c r="E164" s="8">
        <v>47.2</v>
      </c>
      <c r="F164" s="8">
        <v>43.7</v>
      </c>
      <c r="G164" s="8">
        <v>36.4</v>
      </c>
      <c r="H164" s="8">
        <v>45.2</v>
      </c>
      <c r="I164" s="8">
        <v>44.1</v>
      </c>
      <c r="J164" s="8">
        <v>60.6</v>
      </c>
      <c r="K164" s="8">
        <v>23.4</v>
      </c>
      <c r="L164" s="8">
        <v>27.5</v>
      </c>
      <c r="M164" s="8">
        <v>21.3</v>
      </c>
    </row>
    <row r="165" spans="1:13" ht="30" x14ac:dyDescent="0.2">
      <c r="A165" s="6">
        <v>6</v>
      </c>
      <c r="B165" s="7" t="s">
        <v>45</v>
      </c>
      <c r="C165" s="6" t="s">
        <v>46</v>
      </c>
      <c r="D165" s="8">
        <v>32.4</v>
      </c>
      <c r="E165" s="8">
        <v>39.5</v>
      </c>
      <c r="F165" s="8">
        <v>30.9</v>
      </c>
      <c r="G165" s="8">
        <v>38.6</v>
      </c>
      <c r="H165" s="8">
        <v>33.6</v>
      </c>
      <c r="I165" s="8">
        <v>74.400000000000006</v>
      </c>
      <c r="J165" s="8">
        <v>72.8</v>
      </c>
      <c r="K165" s="8">
        <v>589</v>
      </c>
      <c r="L165" s="8">
        <v>601.20000000000005</v>
      </c>
      <c r="M165" s="8">
        <v>608.70000000000005</v>
      </c>
    </row>
    <row r="166" spans="1:13" x14ac:dyDescent="0.2">
      <c r="A166" s="6">
        <v>7</v>
      </c>
      <c r="B166" s="7" t="s">
        <v>48</v>
      </c>
      <c r="C166" s="6" t="s">
        <v>49</v>
      </c>
      <c r="D166" s="8">
        <v>106.6</v>
      </c>
      <c r="E166" s="8">
        <v>109.6</v>
      </c>
      <c r="F166" s="8">
        <v>106.5</v>
      </c>
      <c r="G166" s="8">
        <v>108.6</v>
      </c>
      <c r="H166" s="8">
        <v>112.3</v>
      </c>
      <c r="I166" s="8">
        <v>292.5</v>
      </c>
      <c r="J166" s="8">
        <v>292.8</v>
      </c>
      <c r="K166" s="8">
        <v>289.39999999999998</v>
      </c>
      <c r="L166" s="8">
        <v>286.89999999999998</v>
      </c>
      <c r="M166" s="8">
        <v>285.3</v>
      </c>
    </row>
    <row r="167" spans="1:13" x14ac:dyDescent="0.2">
      <c r="A167" s="6">
        <v>8</v>
      </c>
      <c r="B167" s="7" t="s">
        <v>51</v>
      </c>
      <c r="C167" s="6" t="s">
        <v>52</v>
      </c>
      <c r="D167" s="8">
        <v>0</v>
      </c>
      <c r="E167" s="8">
        <v>0</v>
      </c>
      <c r="F167" s="8">
        <v>0</v>
      </c>
      <c r="G167" s="8">
        <v>0</v>
      </c>
      <c r="H167" s="8">
        <v>0</v>
      </c>
      <c r="I167" s="8">
        <v>0</v>
      </c>
      <c r="J167" s="8">
        <v>0</v>
      </c>
      <c r="K167" s="8">
        <v>0</v>
      </c>
      <c r="L167" s="8">
        <v>0</v>
      </c>
      <c r="M167" s="8">
        <v>0</v>
      </c>
    </row>
    <row r="168" spans="1:13" x14ac:dyDescent="0.2">
      <c r="A168" s="6">
        <v>9</v>
      </c>
      <c r="B168" s="7" t="s">
        <v>55</v>
      </c>
      <c r="C168" s="6" t="s">
        <v>56</v>
      </c>
      <c r="D168" s="8">
        <v>0</v>
      </c>
      <c r="E168" s="8">
        <v>0</v>
      </c>
      <c r="F168" s="8">
        <v>0</v>
      </c>
      <c r="G168" s="8">
        <v>0</v>
      </c>
      <c r="H168" s="8">
        <v>0</v>
      </c>
      <c r="I168" s="8">
        <v>0</v>
      </c>
      <c r="J168" s="8">
        <v>0</v>
      </c>
      <c r="K168" s="8">
        <v>0</v>
      </c>
      <c r="L168" s="8">
        <v>0</v>
      </c>
      <c r="M168" s="8">
        <v>0.91800000000000004</v>
      </c>
    </row>
    <row r="169" spans="1:13" x14ac:dyDescent="0.2">
      <c r="A169" s="6">
        <v>10</v>
      </c>
      <c r="B169" s="7" t="s">
        <v>58</v>
      </c>
      <c r="C169" s="6" t="s">
        <v>59</v>
      </c>
      <c r="D169" s="8">
        <v>0</v>
      </c>
      <c r="E169" s="8">
        <v>0</v>
      </c>
      <c r="F169" s="8">
        <v>0</v>
      </c>
      <c r="G169" s="8">
        <v>0</v>
      </c>
      <c r="H169" s="8">
        <v>0</v>
      </c>
      <c r="I169" s="8">
        <v>0</v>
      </c>
      <c r="J169" s="8">
        <v>0</v>
      </c>
      <c r="K169" s="8">
        <v>0</v>
      </c>
      <c r="L169" s="8">
        <v>0</v>
      </c>
      <c r="M169" s="8">
        <v>0</v>
      </c>
    </row>
    <row r="170" spans="1:13" x14ac:dyDescent="0.2">
      <c r="A170" s="6">
        <v>11</v>
      </c>
      <c r="B170" s="7" t="s">
        <v>61</v>
      </c>
      <c r="C170" s="6" t="s">
        <v>62</v>
      </c>
      <c r="D170" s="8">
        <v>0</v>
      </c>
      <c r="E170" s="8">
        <v>0</v>
      </c>
      <c r="F170" s="8">
        <v>0</v>
      </c>
      <c r="G170" s="8">
        <v>0</v>
      </c>
      <c r="H170" s="8">
        <v>0</v>
      </c>
      <c r="I170" s="8">
        <v>0</v>
      </c>
      <c r="J170" s="8">
        <v>0</v>
      </c>
      <c r="K170" s="8">
        <v>0</v>
      </c>
      <c r="L170" s="8">
        <v>0</v>
      </c>
      <c r="M170" s="8">
        <v>0</v>
      </c>
    </row>
    <row r="171" spans="1:13" ht="30" x14ac:dyDescent="0.2">
      <c r="A171" s="6">
        <v>12</v>
      </c>
      <c r="B171" s="7" t="s">
        <v>64</v>
      </c>
      <c r="C171" s="6" t="s">
        <v>65</v>
      </c>
      <c r="D171" s="8">
        <v>4.51</v>
      </c>
      <c r="E171" s="8">
        <v>0.96299999999999997</v>
      </c>
      <c r="F171" s="8">
        <v>1.91</v>
      </c>
      <c r="G171" s="8">
        <v>0</v>
      </c>
      <c r="H171" s="8">
        <v>1.46</v>
      </c>
      <c r="I171" s="8">
        <v>4.84</v>
      </c>
      <c r="J171" s="8">
        <v>6.09</v>
      </c>
      <c r="K171" s="8">
        <v>4.7699999999999996</v>
      </c>
      <c r="L171" s="8">
        <v>3.4</v>
      </c>
      <c r="M171" s="8">
        <v>2.4900000000000002</v>
      </c>
    </row>
    <row r="172" spans="1:13" ht="30" x14ac:dyDescent="0.2">
      <c r="A172" s="6">
        <v>13</v>
      </c>
      <c r="B172" s="7" t="s">
        <v>67</v>
      </c>
      <c r="C172" s="6" t="s">
        <v>68</v>
      </c>
      <c r="D172" s="8">
        <v>92.6</v>
      </c>
      <c r="E172" s="8">
        <v>66.3</v>
      </c>
      <c r="F172" s="8">
        <v>48.5</v>
      </c>
      <c r="G172" s="8">
        <v>65.5</v>
      </c>
      <c r="H172" s="8">
        <v>53.5</v>
      </c>
      <c r="I172" s="8">
        <v>38.299999999999997</v>
      </c>
      <c r="J172" s="8">
        <v>36</v>
      </c>
      <c r="K172" s="8">
        <v>11</v>
      </c>
      <c r="L172" s="8">
        <v>0</v>
      </c>
      <c r="M172" s="8">
        <v>4</v>
      </c>
    </row>
    <row r="173" spans="1:13" x14ac:dyDescent="0.2">
      <c r="A173" s="6">
        <v>14</v>
      </c>
      <c r="B173" s="7" t="s">
        <v>70</v>
      </c>
      <c r="C173" s="6" t="s">
        <v>71</v>
      </c>
      <c r="D173" s="8">
        <v>44</v>
      </c>
      <c r="E173" s="8">
        <v>91.5</v>
      </c>
      <c r="F173" s="8">
        <v>45.8</v>
      </c>
      <c r="G173" s="8">
        <v>13</v>
      </c>
      <c r="H173" s="8">
        <v>0</v>
      </c>
      <c r="I173" s="8">
        <v>0</v>
      </c>
      <c r="J173" s="8">
        <v>0</v>
      </c>
      <c r="K173" s="8">
        <v>119</v>
      </c>
      <c r="L173" s="8">
        <v>29.3</v>
      </c>
      <c r="M173" s="8">
        <v>31.1</v>
      </c>
    </row>
    <row r="174" spans="1:13" x14ac:dyDescent="0.2">
      <c r="A174" s="6">
        <v>15</v>
      </c>
      <c r="B174" s="7" t="s">
        <v>73</v>
      </c>
      <c r="C174" s="6" t="s">
        <v>74</v>
      </c>
      <c r="D174" s="8">
        <v>0</v>
      </c>
      <c r="E174" s="8">
        <v>557.20000000000005</v>
      </c>
      <c r="F174" s="8">
        <v>665.3</v>
      </c>
      <c r="G174" s="8">
        <v>617.29999999999995</v>
      </c>
      <c r="H174" s="8">
        <v>579.70000000000005</v>
      </c>
      <c r="I174" s="8">
        <v>457.4</v>
      </c>
      <c r="J174" s="8">
        <v>458.2</v>
      </c>
      <c r="K174" s="8">
        <v>460.1</v>
      </c>
      <c r="L174" s="8">
        <v>455.3</v>
      </c>
      <c r="M174" s="8">
        <v>451.5</v>
      </c>
    </row>
    <row r="175" spans="1:13" x14ac:dyDescent="0.2">
      <c r="A175" s="6">
        <v>16</v>
      </c>
      <c r="B175" s="7" t="s">
        <v>76</v>
      </c>
      <c r="C175" s="6" t="s">
        <v>77</v>
      </c>
      <c r="D175" s="8">
        <v>0</v>
      </c>
      <c r="E175" s="8">
        <v>0</v>
      </c>
      <c r="F175" s="8">
        <v>0</v>
      </c>
      <c r="G175" s="8">
        <v>0</v>
      </c>
      <c r="H175" s="8">
        <v>0</v>
      </c>
      <c r="I175" s="8">
        <v>0</v>
      </c>
      <c r="J175" s="8">
        <v>0</v>
      </c>
      <c r="K175" s="8">
        <v>0</v>
      </c>
      <c r="L175" s="8">
        <v>0</v>
      </c>
      <c r="M175" s="8">
        <v>103.1</v>
      </c>
    </row>
    <row r="176" spans="1:13" x14ac:dyDescent="0.2">
      <c r="A176" s="6">
        <v>17</v>
      </c>
      <c r="B176" s="7" t="s">
        <v>79</v>
      </c>
      <c r="C176" s="6" t="s">
        <v>80</v>
      </c>
      <c r="D176" s="8">
        <v>91</v>
      </c>
      <c r="E176" s="8">
        <v>230</v>
      </c>
      <c r="F176" s="8">
        <v>0</v>
      </c>
      <c r="G176" s="8">
        <v>0</v>
      </c>
      <c r="H176" s="8">
        <v>491</v>
      </c>
      <c r="I176" s="8">
        <v>833</v>
      </c>
      <c r="J176" s="8">
        <v>836</v>
      </c>
      <c r="K176" s="8">
        <v>839</v>
      </c>
      <c r="L176" s="8">
        <v>831</v>
      </c>
      <c r="M176" s="8">
        <v>819</v>
      </c>
    </row>
    <row r="177" spans="1:13" ht="30" x14ac:dyDescent="0.2">
      <c r="A177" s="6">
        <v>18</v>
      </c>
      <c r="B177" s="7" t="s">
        <v>82</v>
      </c>
      <c r="C177" s="6" t="s">
        <v>83</v>
      </c>
      <c r="D177" s="8">
        <v>665</v>
      </c>
      <c r="E177" s="8">
        <v>1782.7</v>
      </c>
      <c r="F177" s="8">
        <v>1341.1</v>
      </c>
      <c r="G177" s="8">
        <v>1341.6</v>
      </c>
      <c r="H177" s="8">
        <v>1480</v>
      </c>
      <c r="I177" s="8">
        <v>1531.3</v>
      </c>
      <c r="J177" s="8">
        <v>1405.2</v>
      </c>
      <c r="K177" s="8">
        <v>1486.3</v>
      </c>
      <c r="L177" s="8">
        <v>1197.2</v>
      </c>
      <c r="M177" s="8">
        <v>1730.1</v>
      </c>
    </row>
    <row r="178" spans="1:13" x14ac:dyDescent="0.2">
      <c r="A178" s="6">
        <v>19</v>
      </c>
      <c r="B178" s="7" t="s">
        <v>85</v>
      </c>
      <c r="C178" s="6" t="s">
        <v>86</v>
      </c>
      <c r="D178" s="8">
        <v>724.2</v>
      </c>
      <c r="E178" s="8">
        <v>672.9</v>
      </c>
      <c r="F178" s="8">
        <v>540</v>
      </c>
      <c r="G178" s="8">
        <v>230.9</v>
      </c>
      <c r="H178" s="8">
        <v>190.5</v>
      </c>
      <c r="I178" s="8">
        <v>1571.2</v>
      </c>
      <c r="J178" s="8">
        <v>1368.9</v>
      </c>
      <c r="K178" s="8">
        <v>1306.5999999999999</v>
      </c>
      <c r="L178" s="8">
        <v>1309.5999999999999</v>
      </c>
      <c r="M178" s="8">
        <v>1569.9</v>
      </c>
    </row>
    <row r="179" spans="1:13" x14ac:dyDescent="0.2">
      <c r="A179" s="6">
        <v>20</v>
      </c>
      <c r="B179" s="7" t="s">
        <v>88</v>
      </c>
      <c r="C179" s="6" t="s">
        <v>89</v>
      </c>
      <c r="D179" s="8">
        <v>0</v>
      </c>
      <c r="E179" s="8">
        <v>0</v>
      </c>
      <c r="F179" s="8">
        <v>0</v>
      </c>
      <c r="G179" s="8">
        <v>0</v>
      </c>
      <c r="H179" s="8">
        <v>0</v>
      </c>
      <c r="I179" s="8">
        <v>0</v>
      </c>
      <c r="J179" s="8">
        <v>0</v>
      </c>
      <c r="K179" s="8">
        <v>0</v>
      </c>
      <c r="L179" s="8">
        <v>0</v>
      </c>
      <c r="M179" s="8">
        <v>0</v>
      </c>
    </row>
    <row r="180" spans="1:13" ht="30" x14ac:dyDescent="0.2">
      <c r="A180" s="6">
        <v>21</v>
      </c>
      <c r="B180" s="7" t="s">
        <v>91</v>
      </c>
      <c r="C180" s="6" t="s">
        <v>92</v>
      </c>
      <c r="D180" s="8">
        <v>900.3</v>
      </c>
      <c r="E180" s="8">
        <v>1085.4000000000001</v>
      </c>
      <c r="F180" s="8">
        <v>1337.3</v>
      </c>
      <c r="G180" s="8">
        <v>1251</v>
      </c>
      <c r="H180" s="8">
        <v>1693.8</v>
      </c>
      <c r="I180" s="8">
        <v>1790.3</v>
      </c>
      <c r="J180" s="8">
        <v>1847.3</v>
      </c>
      <c r="K180" s="8">
        <v>1802.9</v>
      </c>
      <c r="L180" s="8">
        <v>2264.6</v>
      </c>
      <c r="M180" s="8">
        <v>2590.6</v>
      </c>
    </row>
    <row r="181" spans="1:13" x14ac:dyDescent="0.2">
      <c r="A181" s="6">
        <v>22</v>
      </c>
      <c r="B181" s="7" t="s">
        <v>94</v>
      </c>
      <c r="C181" s="6" t="s">
        <v>95</v>
      </c>
      <c r="D181" s="8">
        <v>0</v>
      </c>
      <c r="E181" s="8">
        <v>0</v>
      </c>
      <c r="F181" s="8">
        <v>0</v>
      </c>
      <c r="G181" s="8">
        <v>0</v>
      </c>
      <c r="H181" s="8">
        <v>0</v>
      </c>
      <c r="I181" s="8">
        <v>0</v>
      </c>
      <c r="J181" s="8">
        <v>0</v>
      </c>
      <c r="K181" s="8">
        <v>0</v>
      </c>
      <c r="L181" s="8">
        <v>0</v>
      </c>
      <c r="M181" s="8">
        <v>0</v>
      </c>
    </row>
    <row r="182" spans="1:13" x14ac:dyDescent="0.2">
      <c r="A182" s="6">
        <v>23</v>
      </c>
      <c r="B182" s="7" t="s">
        <v>97</v>
      </c>
      <c r="C182" s="6" t="s">
        <v>98</v>
      </c>
      <c r="D182" s="8">
        <v>0</v>
      </c>
      <c r="E182" s="8">
        <v>0</v>
      </c>
      <c r="F182" s="8">
        <v>0</v>
      </c>
      <c r="G182" s="8">
        <v>0</v>
      </c>
      <c r="H182" s="8">
        <v>0</v>
      </c>
      <c r="I182" s="8">
        <v>0</v>
      </c>
      <c r="J182" s="8">
        <v>0</v>
      </c>
      <c r="K182" s="8">
        <v>0</v>
      </c>
      <c r="L182" s="8">
        <v>0</v>
      </c>
      <c r="M182" s="8">
        <v>0</v>
      </c>
    </row>
    <row r="183" spans="1:13" x14ac:dyDescent="0.2">
      <c r="A183" s="6">
        <v>24</v>
      </c>
      <c r="B183" s="7" t="s">
        <v>100</v>
      </c>
      <c r="C183" s="6" t="s">
        <v>101</v>
      </c>
      <c r="D183" s="8">
        <v>13.6</v>
      </c>
      <c r="E183" s="8">
        <v>31.7</v>
      </c>
      <c r="F183" s="8">
        <v>39.1</v>
      </c>
      <c r="G183" s="8">
        <v>63.5</v>
      </c>
      <c r="H183" s="8">
        <v>64.599999999999994</v>
      </c>
      <c r="I183" s="8">
        <v>48.7</v>
      </c>
      <c r="J183" s="8">
        <v>98.6</v>
      </c>
      <c r="K183" s="8">
        <v>152.1</v>
      </c>
      <c r="L183" s="8">
        <v>137.80000000000001</v>
      </c>
      <c r="M183" s="8">
        <v>137.80000000000001</v>
      </c>
    </row>
    <row r="184" spans="1:13" x14ac:dyDescent="0.2">
      <c r="A184" s="6">
        <v>25</v>
      </c>
      <c r="B184" s="7" t="s">
        <v>103</v>
      </c>
      <c r="C184" s="6" t="s">
        <v>104</v>
      </c>
      <c r="D184" s="8">
        <v>104.4</v>
      </c>
      <c r="E184" s="8">
        <v>104.4</v>
      </c>
      <c r="F184" s="8">
        <v>144.4</v>
      </c>
      <c r="G184" s="8">
        <v>269.39999999999998</v>
      </c>
      <c r="H184" s="8">
        <v>369.4</v>
      </c>
      <c r="I184" s="8">
        <v>369.4</v>
      </c>
      <c r="J184" s="8">
        <v>369.4</v>
      </c>
      <c r="K184" s="8">
        <v>369</v>
      </c>
      <c r="L184" s="8">
        <v>369</v>
      </c>
      <c r="M184" s="8">
        <v>369</v>
      </c>
    </row>
    <row r="185" spans="1:13" ht="30" x14ac:dyDescent="0.2">
      <c r="A185" s="6">
        <v>26</v>
      </c>
      <c r="B185" s="7" t="s">
        <v>106</v>
      </c>
      <c r="C185" s="6" t="s">
        <v>107</v>
      </c>
      <c r="D185" s="8">
        <v>36.200000000000003</v>
      </c>
      <c r="E185" s="8">
        <v>32.9</v>
      </c>
      <c r="F185" s="8">
        <v>111.5</v>
      </c>
      <c r="G185" s="8">
        <v>104</v>
      </c>
      <c r="H185" s="8">
        <v>72.400000000000006</v>
      </c>
      <c r="I185" s="8">
        <v>100.8</v>
      </c>
      <c r="J185" s="8">
        <v>151.6</v>
      </c>
      <c r="K185" s="8">
        <v>88.8</v>
      </c>
      <c r="L185" s="8">
        <v>80.400000000000006</v>
      </c>
      <c r="M185" s="8">
        <v>87.1</v>
      </c>
    </row>
    <row r="186" spans="1:13" x14ac:dyDescent="0.2">
      <c r="A186" s="6">
        <v>27</v>
      </c>
      <c r="B186" s="7" t="s">
        <v>109</v>
      </c>
      <c r="C186" s="6" t="s">
        <v>110</v>
      </c>
      <c r="D186" s="8">
        <v>179.1</v>
      </c>
      <c r="E186" s="8">
        <v>193.8</v>
      </c>
      <c r="F186" s="8">
        <v>189.4</v>
      </c>
      <c r="G186" s="8">
        <v>196.4</v>
      </c>
      <c r="H186" s="8">
        <v>306.5</v>
      </c>
      <c r="I186" s="8">
        <v>309.39999999999998</v>
      </c>
      <c r="J186" s="8">
        <v>293.39999999999998</v>
      </c>
      <c r="K186" s="8">
        <v>239.6</v>
      </c>
      <c r="L186" s="8">
        <v>232.2</v>
      </c>
      <c r="M186" s="8">
        <v>299.60000000000002</v>
      </c>
    </row>
    <row r="187" spans="1:13" ht="30" x14ac:dyDescent="0.2">
      <c r="A187" s="6">
        <v>28</v>
      </c>
      <c r="B187" s="7" t="s">
        <v>112</v>
      </c>
      <c r="C187" s="6" t="s">
        <v>113</v>
      </c>
      <c r="D187" s="8">
        <v>0</v>
      </c>
      <c r="E187" s="8">
        <v>0</v>
      </c>
      <c r="F187" s="8">
        <v>0</v>
      </c>
      <c r="G187" s="8">
        <v>0</v>
      </c>
      <c r="H187" s="8">
        <v>0</v>
      </c>
      <c r="I187" s="8">
        <v>4</v>
      </c>
      <c r="J187" s="8">
        <v>21.3</v>
      </c>
      <c r="K187" s="8">
        <v>0</v>
      </c>
      <c r="L187" s="8">
        <v>39.5</v>
      </c>
      <c r="M187" s="8">
        <v>37.5</v>
      </c>
    </row>
    <row r="188" spans="1:13" x14ac:dyDescent="0.2">
      <c r="A188" s="6">
        <v>29</v>
      </c>
      <c r="B188" s="7" t="s">
        <v>115</v>
      </c>
      <c r="C188" s="6" t="s">
        <v>116</v>
      </c>
      <c r="D188" s="8">
        <v>20</v>
      </c>
      <c r="E188" s="8">
        <v>34.200000000000003</v>
      </c>
      <c r="F188" s="8">
        <v>39.5</v>
      </c>
      <c r="G188" s="8">
        <v>38.5</v>
      </c>
      <c r="H188" s="8">
        <v>41.5</v>
      </c>
      <c r="I188" s="8">
        <v>32.299999999999997</v>
      </c>
      <c r="J188" s="8">
        <v>40.200000000000003</v>
      </c>
      <c r="K188" s="8">
        <v>42.6</v>
      </c>
      <c r="L188" s="8">
        <v>29.7</v>
      </c>
      <c r="M188" s="8">
        <v>0.28399999999999997</v>
      </c>
    </row>
    <row r="189" spans="1:13" x14ac:dyDescent="0.2">
      <c r="A189" s="6">
        <v>30</v>
      </c>
      <c r="B189" s="7" t="s">
        <v>118</v>
      </c>
      <c r="C189" s="6" t="s">
        <v>119</v>
      </c>
      <c r="D189" s="8">
        <v>0.12</v>
      </c>
      <c r="E189" s="8">
        <v>7.9000000000000001E-2</v>
      </c>
      <c r="F189" s="8">
        <v>0.153</v>
      </c>
      <c r="G189" s="8">
        <v>0.129</v>
      </c>
      <c r="H189" s="8">
        <v>9.7000000000000003E-2</v>
      </c>
      <c r="I189" s="8">
        <v>2.1000000000000001E-2</v>
      </c>
      <c r="J189" s="8">
        <v>184.6</v>
      </c>
      <c r="K189" s="8">
        <v>151.19999999999999</v>
      </c>
      <c r="L189" s="8">
        <v>535.20000000000005</v>
      </c>
      <c r="M189" s="8">
        <v>566.70000000000005</v>
      </c>
    </row>
    <row r="190" spans="1:13" x14ac:dyDescent="0.2">
      <c r="A190" s="6">
        <v>31</v>
      </c>
      <c r="B190" s="7" t="s">
        <v>121</v>
      </c>
      <c r="C190" s="6" t="s">
        <v>122</v>
      </c>
      <c r="D190" s="8">
        <v>0</v>
      </c>
      <c r="E190" s="8">
        <v>0</v>
      </c>
      <c r="F190" s="8">
        <v>9.4600000000000009</v>
      </c>
      <c r="G190" s="8">
        <v>4.49</v>
      </c>
      <c r="H190" s="8">
        <v>2.58</v>
      </c>
      <c r="I190" s="8">
        <v>0</v>
      </c>
      <c r="J190" s="8">
        <v>0</v>
      </c>
      <c r="K190" s="8">
        <v>12.7</v>
      </c>
      <c r="L190" s="8">
        <v>8.11</v>
      </c>
      <c r="M190" s="8">
        <v>16.5</v>
      </c>
    </row>
    <row r="191" spans="1:13" x14ac:dyDescent="0.2">
      <c r="A191" s="6">
        <v>32</v>
      </c>
      <c r="B191" s="7" t="s">
        <v>124</v>
      </c>
      <c r="C191" s="6" t="s">
        <v>125</v>
      </c>
      <c r="D191" s="8">
        <v>36.4</v>
      </c>
      <c r="E191" s="8">
        <v>11.5</v>
      </c>
      <c r="F191" s="8">
        <v>9.5</v>
      </c>
      <c r="G191" s="8">
        <v>0</v>
      </c>
      <c r="H191" s="8">
        <v>0</v>
      </c>
      <c r="I191" s="8">
        <v>0</v>
      </c>
      <c r="J191" s="8">
        <v>0</v>
      </c>
      <c r="K191" s="8">
        <v>0</v>
      </c>
      <c r="L191" s="8">
        <v>40</v>
      </c>
      <c r="M191" s="8">
        <v>5</v>
      </c>
    </row>
    <row r="192" spans="1:13" ht="30" x14ac:dyDescent="0.2">
      <c r="A192" s="6">
        <v>33</v>
      </c>
      <c r="B192" s="7" t="s">
        <v>127</v>
      </c>
      <c r="C192" s="6" t="s">
        <v>128</v>
      </c>
      <c r="D192" s="8">
        <v>4.5199999999999996</v>
      </c>
      <c r="E192" s="8">
        <v>4.6900000000000004</v>
      </c>
      <c r="F192" s="8">
        <v>4.0599999999999996</v>
      </c>
      <c r="G192" s="8">
        <v>0</v>
      </c>
      <c r="H192" s="8">
        <v>2.67</v>
      </c>
      <c r="I192" s="8">
        <v>1.04</v>
      </c>
      <c r="J192" s="8">
        <v>1.78</v>
      </c>
      <c r="K192" s="8">
        <v>6.66</v>
      </c>
      <c r="L192" s="8">
        <v>6.41</v>
      </c>
      <c r="M192" s="8">
        <v>9.94</v>
      </c>
    </row>
    <row r="193" spans="1:13" x14ac:dyDescent="0.2">
      <c r="A193" s="6">
        <v>34</v>
      </c>
      <c r="B193" s="7" t="s">
        <v>130</v>
      </c>
      <c r="C193" s="6" t="s">
        <v>131</v>
      </c>
      <c r="D193" s="8">
        <v>0</v>
      </c>
      <c r="E193" s="8">
        <v>0</v>
      </c>
      <c r="F193" s="8">
        <v>0</v>
      </c>
      <c r="G193" s="8">
        <v>0</v>
      </c>
      <c r="H193" s="8">
        <v>0</v>
      </c>
      <c r="I193" s="8">
        <v>0</v>
      </c>
      <c r="J193" s="8">
        <v>0</v>
      </c>
      <c r="K193" s="8">
        <v>0</v>
      </c>
      <c r="L193" s="8">
        <v>0</v>
      </c>
      <c r="M193" s="8">
        <v>0</v>
      </c>
    </row>
    <row r="194" spans="1:13" ht="30" x14ac:dyDescent="0.2">
      <c r="A194" s="6">
        <v>35</v>
      </c>
      <c r="B194" s="7" t="s">
        <v>133</v>
      </c>
      <c r="C194" s="6" t="s">
        <v>134</v>
      </c>
      <c r="D194" s="8">
        <v>422.1</v>
      </c>
      <c r="E194" s="8">
        <v>406.8</v>
      </c>
      <c r="F194" s="8">
        <v>400</v>
      </c>
      <c r="G194" s="8">
        <v>410.5</v>
      </c>
      <c r="H194" s="8">
        <v>933.9</v>
      </c>
      <c r="I194" s="8">
        <v>327.3</v>
      </c>
      <c r="J194" s="8">
        <v>423.2</v>
      </c>
      <c r="K194" s="8">
        <v>414.9</v>
      </c>
      <c r="L194" s="8">
        <v>476.6</v>
      </c>
      <c r="M194" s="8">
        <v>335.5</v>
      </c>
    </row>
    <row r="195" spans="1:13" x14ac:dyDescent="0.2">
      <c r="A195" s="6">
        <v>36</v>
      </c>
      <c r="B195" s="7" t="s">
        <v>136</v>
      </c>
      <c r="C195" s="6" t="s">
        <v>137</v>
      </c>
      <c r="D195" s="8">
        <v>1.1499999999999999</v>
      </c>
      <c r="E195" s="8">
        <v>1.1000000000000001</v>
      </c>
      <c r="F195" s="8">
        <v>0</v>
      </c>
      <c r="G195" s="8">
        <v>0</v>
      </c>
      <c r="H195" s="8">
        <v>0</v>
      </c>
      <c r="I195" s="8">
        <v>0</v>
      </c>
      <c r="J195" s="8">
        <v>0</v>
      </c>
      <c r="K195" s="8">
        <v>0</v>
      </c>
      <c r="L195" s="8">
        <v>0</v>
      </c>
      <c r="M195" s="8">
        <v>0</v>
      </c>
    </row>
    <row r="196" spans="1:13" x14ac:dyDescent="0.2">
      <c r="A196" s="6">
        <v>37</v>
      </c>
      <c r="B196" s="7" t="s">
        <v>139</v>
      </c>
      <c r="C196" s="6" t="s">
        <v>140</v>
      </c>
      <c r="D196" s="8">
        <v>0</v>
      </c>
      <c r="E196" s="8">
        <v>0</v>
      </c>
      <c r="F196" s="8">
        <v>0</v>
      </c>
      <c r="G196" s="8">
        <v>121.3</v>
      </c>
      <c r="H196" s="8">
        <v>96.4</v>
      </c>
      <c r="I196" s="8">
        <v>75.3</v>
      </c>
      <c r="J196" s="8">
        <v>50</v>
      </c>
      <c r="K196" s="8">
        <v>35</v>
      </c>
      <c r="L196" s="8">
        <v>35</v>
      </c>
      <c r="M196" s="8">
        <v>0</v>
      </c>
    </row>
    <row r="197" spans="1:13" x14ac:dyDescent="0.2">
      <c r="A197" s="6">
        <v>38</v>
      </c>
      <c r="B197" s="7" t="s">
        <v>142</v>
      </c>
      <c r="C197" s="6" t="s">
        <v>143</v>
      </c>
      <c r="D197" s="8">
        <v>35</v>
      </c>
      <c r="E197" s="8">
        <v>25</v>
      </c>
      <c r="F197" s="8">
        <v>0</v>
      </c>
      <c r="G197" s="8">
        <v>50.3</v>
      </c>
      <c r="H197" s="8">
        <v>51.9</v>
      </c>
      <c r="I197" s="8">
        <v>21.2</v>
      </c>
      <c r="J197" s="8">
        <v>0</v>
      </c>
      <c r="K197" s="8">
        <v>0</v>
      </c>
      <c r="L197" s="8">
        <v>0</v>
      </c>
      <c r="M197" s="8">
        <v>0</v>
      </c>
    </row>
    <row r="198" spans="1:13" x14ac:dyDescent="0.2">
      <c r="A198" s="6">
        <v>39</v>
      </c>
      <c r="B198" s="7" t="s">
        <v>145</v>
      </c>
      <c r="C198" s="6" t="s">
        <v>146</v>
      </c>
      <c r="D198" s="8">
        <v>386.6</v>
      </c>
      <c r="E198" s="8">
        <v>687.6</v>
      </c>
      <c r="F198" s="8">
        <v>685.8</v>
      </c>
      <c r="G198" s="8">
        <v>1904.4</v>
      </c>
      <c r="H198" s="8">
        <v>2923.4</v>
      </c>
      <c r="I198" s="8">
        <v>3129.4</v>
      </c>
      <c r="J198" s="8">
        <v>2853.8</v>
      </c>
      <c r="K198" s="8">
        <v>2896.8</v>
      </c>
      <c r="L198" s="8">
        <v>2560.6</v>
      </c>
      <c r="M198" s="8">
        <v>2585.5</v>
      </c>
    </row>
    <row r="199" spans="1:13" x14ac:dyDescent="0.2">
      <c r="A199" s="6">
        <v>40</v>
      </c>
      <c r="B199" s="7" t="s">
        <v>148</v>
      </c>
      <c r="C199" s="6" t="s">
        <v>149</v>
      </c>
      <c r="D199" s="8">
        <v>35</v>
      </c>
      <c r="E199" s="8">
        <v>35.700000000000003</v>
      </c>
      <c r="F199" s="8">
        <v>37.5</v>
      </c>
      <c r="G199" s="8">
        <v>34.4</v>
      </c>
      <c r="H199" s="8">
        <v>36.200000000000003</v>
      </c>
      <c r="I199" s="8">
        <v>36.799999999999997</v>
      </c>
      <c r="J199" s="8">
        <v>37.1</v>
      </c>
      <c r="K199" s="8">
        <v>34.700000000000003</v>
      </c>
      <c r="L199" s="8">
        <v>35.6</v>
      </c>
      <c r="M199" s="8">
        <v>0</v>
      </c>
    </row>
    <row r="200" spans="1:13" x14ac:dyDescent="0.2">
      <c r="A200" s="6">
        <v>41</v>
      </c>
      <c r="B200" s="7" t="s">
        <v>151</v>
      </c>
      <c r="C200" s="6" t="s">
        <v>152</v>
      </c>
      <c r="D200" s="8">
        <v>0</v>
      </c>
      <c r="E200" s="8">
        <v>0</v>
      </c>
      <c r="F200" s="8">
        <v>0</v>
      </c>
      <c r="G200" s="8">
        <v>160</v>
      </c>
      <c r="H200" s="8">
        <v>190</v>
      </c>
      <c r="I200" s="8">
        <v>272.3</v>
      </c>
      <c r="J200" s="8">
        <v>225.5</v>
      </c>
      <c r="K200" s="8">
        <v>281</v>
      </c>
      <c r="L200" s="8">
        <v>420.3</v>
      </c>
      <c r="M200" s="8">
        <v>484.3</v>
      </c>
    </row>
    <row r="201" spans="1:13" x14ac:dyDescent="0.2">
      <c r="A201" s="6">
        <v>42</v>
      </c>
      <c r="B201" s="7" t="s">
        <v>154</v>
      </c>
      <c r="C201" s="6" t="s">
        <v>155</v>
      </c>
      <c r="D201" s="8">
        <v>12.2</v>
      </c>
      <c r="E201" s="8">
        <v>9.16</v>
      </c>
      <c r="F201" s="8">
        <v>6.11</v>
      </c>
      <c r="G201" s="8">
        <v>3.05</v>
      </c>
      <c r="H201" s="8">
        <v>8.85</v>
      </c>
      <c r="I201" s="8">
        <v>7.88</v>
      </c>
      <c r="J201" s="8">
        <v>31.8</v>
      </c>
      <c r="K201" s="8">
        <v>30.8</v>
      </c>
      <c r="L201" s="8">
        <v>49.8</v>
      </c>
      <c r="M201" s="8">
        <v>38.799999999999997</v>
      </c>
    </row>
    <row r="202" spans="1:13" x14ac:dyDescent="0.2">
      <c r="A202" s="6">
        <v>43</v>
      </c>
      <c r="B202" s="7" t="s">
        <v>157</v>
      </c>
      <c r="C202" s="6" t="s">
        <v>158</v>
      </c>
      <c r="D202" s="8">
        <v>13.4</v>
      </c>
      <c r="E202" s="8">
        <v>12.8</v>
      </c>
      <c r="F202" s="8">
        <v>11.5</v>
      </c>
      <c r="G202" s="8">
        <v>14.8</v>
      </c>
      <c r="H202" s="8">
        <v>18.399999999999999</v>
      </c>
      <c r="I202" s="8">
        <v>17.600000000000001</v>
      </c>
      <c r="J202" s="8">
        <v>20.100000000000001</v>
      </c>
      <c r="K202" s="8">
        <v>19.3</v>
      </c>
      <c r="L202" s="8">
        <v>16.399999999999999</v>
      </c>
      <c r="M202" s="8">
        <v>15.2</v>
      </c>
    </row>
    <row r="203" spans="1:13" x14ac:dyDescent="0.2">
      <c r="A203" s="6">
        <v>44</v>
      </c>
      <c r="B203" s="7" t="s">
        <v>160</v>
      </c>
      <c r="C203" s="6" t="s">
        <v>161</v>
      </c>
      <c r="D203" s="8">
        <v>72.3</v>
      </c>
      <c r="E203" s="8">
        <v>72.5</v>
      </c>
      <c r="F203" s="8">
        <v>70.8</v>
      </c>
      <c r="G203" s="8">
        <v>0</v>
      </c>
      <c r="H203" s="8">
        <v>79.400000000000006</v>
      </c>
      <c r="I203" s="8">
        <v>79.7</v>
      </c>
      <c r="J203" s="8">
        <v>79.8</v>
      </c>
      <c r="K203" s="8">
        <v>79.900000000000006</v>
      </c>
      <c r="L203" s="8">
        <v>47.9</v>
      </c>
      <c r="M203" s="8">
        <v>80.2</v>
      </c>
    </row>
    <row r="204" spans="1:13" x14ac:dyDescent="0.2">
      <c r="A204" s="6">
        <v>45</v>
      </c>
      <c r="B204" s="7" t="s">
        <v>163</v>
      </c>
      <c r="C204" s="6" t="s">
        <v>164</v>
      </c>
      <c r="D204" s="8">
        <v>620.29999999999995</v>
      </c>
      <c r="E204" s="8">
        <v>907.4</v>
      </c>
      <c r="F204" s="8">
        <v>1191.5999999999999</v>
      </c>
      <c r="G204" s="8">
        <v>1194.4000000000001</v>
      </c>
      <c r="H204" s="8">
        <v>1143.5999999999999</v>
      </c>
      <c r="I204" s="8">
        <v>1398.6</v>
      </c>
      <c r="J204" s="8">
        <v>1505.3</v>
      </c>
      <c r="K204" s="8">
        <v>1519.8</v>
      </c>
      <c r="L204" s="8">
        <v>1493.3</v>
      </c>
      <c r="M204" s="8">
        <v>1413.6</v>
      </c>
    </row>
    <row r="205" spans="1:13" x14ac:dyDescent="0.2">
      <c r="A205" s="6">
        <v>46</v>
      </c>
      <c r="B205" s="7" t="s">
        <v>166</v>
      </c>
      <c r="C205" s="6" t="s">
        <v>167</v>
      </c>
      <c r="D205" s="8">
        <v>26.8</v>
      </c>
      <c r="E205" s="8">
        <v>12.5</v>
      </c>
      <c r="F205" s="8">
        <v>2.9</v>
      </c>
      <c r="G205" s="8">
        <v>0</v>
      </c>
      <c r="H205" s="8">
        <v>0</v>
      </c>
      <c r="I205" s="8">
        <v>0</v>
      </c>
      <c r="J205" s="8">
        <v>0</v>
      </c>
      <c r="K205" s="8">
        <v>0</v>
      </c>
      <c r="L205" s="8">
        <v>0</v>
      </c>
      <c r="M205" s="8">
        <v>0</v>
      </c>
    </row>
    <row r="206" spans="1:13" x14ac:dyDescent="0.2">
      <c r="A206" s="6">
        <v>47</v>
      </c>
      <c r="B206" s="7" t="s">
        <v>169</v>
      </c>
      <c r="C206" s="6" t="s">
        <v>170</v>
      </c>
      <c r="D206" s="8">
        <v>20.399999999999999</v>
      </c>
      <c r="E206" s="8">
        <v>65.400000000000006</v>
      </c>
      <c r="F206" s="8">
        <v>215.9</v>
      </c>
      <c r="G206" s="8">
        <v>245.7</v>
      </c>
      <c r="H206" s="8">
        <v>212.5</v>
      </c>
      <c r="I206" s="8">
        <v>163</v>
      </c>
      <c r="J206" s="8">
        <v>162</v>
      </c>
      <c r="K206" s="8">
        <v>169.8</v>
      </c>
      <c r="L206" s="8">
        <v>62</v>
      </c>
      <c r="M206" s="8">
        <v>285</v>
      </c>
    </row>
    <row r="207" spans="1:13" ht="30" x14ac:dyDescent="0.2">
      <c r="A207" s="6">
        <v>48</v>
      </c>
      <c r="B207" s="7" t="s">
        <v>172</v>
      </c>
      <c r="C207" s="6" t="s">
        <v>173</v>
      </c>
      <c r="D207" s="8">
        <v>6.75</v>
      </c>
      <c r="E207" s="8">
        <v>3.75</v>
      </c>
      <c r="F207" s="8">
        <v>55.2</v>
      </c>
      <c r="G207" s="8">
        <v>0</v>
      </c>
      <c r="H207" s="8">
        <v>25.2</v>
      </c>
      <c r="I207" s="8">
        <v>21.3</v>
      </c>
      <c r="J207" s="8">
        <v>23</v>
      </c>
      <c r="K207" s="8">
        <v>21.5</v>
      </c>
      <c r="L207" s="8">
        <v>19.7</v>
      </c>
      <c r="M207" s="8">
        <v>17.600000000000001</v>
      </c>
    </row>
    <row r="208" spans="1:13" x14ac:dyDescent="0.2">
      <c r="A208" s="6">
        <v>49</v>
      </c>
      <c r="B208" s="7" t="s">
        <v>175</v>
      </c>
      <c r="C208" s="6" t="s">
        <v>176</v>
      </c>
      <c r="D208" s="8">
        <v>21.6</v>
      </c>
      <c r="E208" s="8">
        <v>11.2</v>
      </c>
      <c r="F208" s="8">
        <v>8.66</v>
      </c>
      <c r="G208" s="8">
        <v>10.7</v>
      </c>
      <c r="H208" s="8">
        <v>0</v>
      </c>
      <c r="I208" s="8">
        <v>0</v>
      </c>
      <c r="J208" s="8">
        <v>16.8</v>
      </c>
      <c r="K208" s="8">
        <v>5.73</v>
      </c>
      <c r="L208" s="8">
        <v>11.7</v>
      </c>
      <c r="M208" s="8">
        <v>25.9</v>
      </c>
    </row>
    <row r="209" spans="1:13" ht="30" x14ac:dyDescent="0.2">
      <c r="A209" s="6">
        <v>50</v>
      </c>
      <c r="B209" s="7" t="s">
        <v>178</v>
      </c>
      <c r="C209" s="6" t="s">
        <v>179</v>
      </c>
      <c r="D209" s="8">
        <v>23.3</v>
      </c>
      <c r="E209" s="8">
        <v>55.9</v>
      </c>
      <c r="F209" s="8">
        <v>194.9</v>
      </c>
      <c r="G209" s="8">
        <v>241.7</v>
      </c>
      <c r="H209" s="8">
        <v>228</v>
      </c>
      <c r="I209" s="8">
        <v>203.9</v>
      </c>
      <c r="J209" s="8">
        <v>255.3</v>
      </c>
      <c r="K209" s="8">
        <v>422.9</v>
      </c>
      <c r="L209" s="8">
        <v>462.1</v>
      </c>
      <c r="M209" s="8">
        <v>487.5</v>
      </c>
    </row>
    <row r="210" spans="1:13" ht="30" x14ac:dyDescent="0.2">
      <c r="A210" s="6">
        <v>51</v>
      </c>
      <c r="B210" s="7" t="s">
        <v>181</v>
      </c>
      <c r="C210" s="6" t="s">
        <v>182</v>
      </c>
      <c r="D210" s="8">
        <v>226.8</v>
      </c>
      <c r="E210" s="8">
        <v>207.1</v>
      </c>
      <c r="F210" s="8">
        <v>348.5</v>
      </c>
      <c r="G210" s="8">
        <v>398.1</v>
      </c>
      <c r="H210" s="8">
        <v>400.4</v>
      </c>
      <c r="I210" s="8">
        <v>366.2</v>
      </c>
      <c r="J210" s="8">
        <v>313.2</v>
      </c>
      <c r="K210" s="8">
        <v>311.2</v>
      </c>
      <c r="L210" s="8">
        <v>670.3</v>
      </c>
      <c r="M210" s="8">
        <v>797.6</v>
      </c>
    </row>
    <row r="211" spans="1:13" ht="30" x14ac:dyDescent="0.2">
      <c r="A211" s="6">
        <v>52</v>
      </c>
      <c r="B211" s="7" t="s">
        <v>184</v>
      </c>
      <c r="C211" s="6" t="s">
        <v>185</v>
      </c>
      <c r="D211" s="8">
        <v>0</v>
      </c>
      <c r="E211" s="8">
        <v>4.2000000000000003E-2</v>
      </c>
      <c r="F211" s="8">
        <v>3.2000000000000001E-2</v>
      </c>
      <c r="G211" s="8">
        <v>0</v>
      </c>
      <c r="H211" s="8">
        <v>0.57199999999999995</v>
      </c>
      <c r="I211" s="8">
        <v>0</v>
      </c>
      <c r="J211" s="8">
        <v>0</v>
      </c>
      <c r="K211" s="8">
        <v>0</v>
      </c>
      <c r="L211" s="8">
        <v>0</v>
      </c>
      <c r="M211" s="8">
        <v>0</v>
      </c>
    </row>
    <row r="212" spans="1:13" x14ac:dyDescent="0.2">
      <c r="A212" s="6">
        <v>53</v>
      </c>
      <c r="B212" s="7" t="s">
        <v>187</v>
      </c>
      <c r="C212" s="6" t="s">
        <v>188</v>
      </c>
      <c r="D212" s="8">
        <v>0</v>
      </c>
      <c r="E212" s="8">
        <v>0</v>
      </c>
      <c r="F212" s="8">
        <v>0</v>
      </c>
      <c r="G212" s="8">
        <v>0</v>
      </c>
      <c r="H212" s="8">
        <v>0</v>
      </c>
      <c r="I212" s="8">
        <v>0</v>
      </c>
      <c r="J212" s="8">
        <v>0</v>
      </c>
      <c r="K212" s="8">
        <v>0</v>
      </c>
      <c r="L212" s="8">
        <v>0</v>
      </c>
      <c r="M212" s="8">
        <v>0</v>
      </c>
    </row>
    <row r="213" spans="1:13" x14ac:dyDescent="0.2">
      <c r="A213" s="6">
        <v>54</v>
      </c>
      <c r="B213" s="7" t="s">
        <v>190</v>
      </c>
      <c r="C213" s="6" t="s">
        <v>191</v>
      </c>
      <c r="D213" s="8">
        <v>0</v>
      </c>
      <c r="E213" s="8">
        <v>0</v>
      </c>
      <c r="F213" s="8">
        <v>0</v>
      </c>
      <c r="G213" s="8">
        <v>0</v>
      </c>
      <c r="H213" s="8">
        <v>0</v>
      </c>
      <c r="I213" s="8">
        <v>0</v>
      </c>
      <c r="J213" s="8">
        <v>0</v>
      </c>
      <c r="K213" s="8">
        <v>0</v>
      </c>
      <c r="L213" s="8">
        <v>4.13</v>
      </c>
      <c r="M213" s="8">
        <v>2.65</v>
      </c>
    </row>
    <row r="214" spans="1:13" x14ac:dyDescent="0.2">
      <c r="A214" s="6">
        <v>55</v>
      </c>
      <c r="B214" s="7" t="s">
        <v>193</v>
      </c>
      <c r="C214" s="6" t="s">
        <v>194</v>
      </c>
      <c r="D214" s="8">
        <v>0</v>
      </c>
      <c r="E214" s="8">
        <v>272.60000000000002</v>
      </c>
      <c r="F214" s="8">
        <v>291.39999999999998</v>
      </c>
      <c r="G214" s="8">
        <v>245.4</v>
      </c>
      <c r="H214" s="8">
        <v>512.6</v>
      </c>
      <c r="I214" s="8">
        <v>528.6</v>
      </c>
      <c r="J214" s="8">
        <v>545.9</v>
      </c>
      <c r="K214" s="8">
        <v>592.4</v>
      </c>
      <c r="L214" s="8">
        <v>637.1</v>
      </c>
      <c r="M214" s="8">
        <v>540.5</v>
      </c>
    </row>
    <row r="215" spans="1:13" x14ac:dyDescent="0.2">
      <c r="A215" s="6">
        <v>56</v>
      </c>
      <c r="B215" s="7" t="s">
        <v>196</v>
      </c>
      <c r="C215" s="6" t="s">
        <v>197</v>
      </c>
      <c r="D215" s="8">
        <v>38.299999999999997</v>
      </c>
      <c r="E215" s="8">
        <v>35.5</v>
      </c>
      <c r="F215" s="8">
        <v>90.2</v>
      </c>
      <c r="G215" s="8">
        <v>80</v>
      </c>
      <c r="H215" s="8">
        <v>67.400000000000006</v>
      </c>
      <c r="I215" s="8">
        <v>138.80000000000001</v>
      </c>
      <c r="J215" s="8">
        <v>153.80000000000001</v>
      </c>
      <c r="K215" s="8">
        <v>153.80000000000001</v>
      </c>
      <c r="L215" s="8">
        <v>153.80000000000001</v>
      </c>
      <c r="M215" s="8">
        <v>125.4</v>
      </c>
    </row>
    <row r="216" spans="1:13" x14ac:dyDescent="0.2">
      <c r="A216" s="6">
        <v>57</v>
      </c>
      <c r="B216" s="7" t="s">
        <v>199</v>
      </c>
      <c r="C216" s="6" t="s">
        <v>200</v>
      </c>
      <c r="D216" s="8">
        <v>104</v>
      </c>
      <c r="E216" s="8">
        <v>93</v>
      </c>
      <c r="F216" s="8">
        <v>74</v>
      </c>
      <c r="G216" s="8">
        <v>97</v>
      </c>
      <c r="H216" s="8">
        <v>63.9</v>
      </c>
      <c r="I216" s="8">
        <v>40.4</v>
      </c>
      <c r="J216" s="8">
        <v>66</v>
      </c>
      <c r="K216" s="8">
        <v>84</v>
      </c>
      <c r="L216" s="8">
        <v>71</v>
      </c>
      <c r="M216" s="8">
        <v>51</v>
      </c>
    </row>
    <row r="217" spans="1:13" ht="30" x14ac:dyDescent="0.2">
      <c r="A217" s="6">
        <v>58</v>
      </c>
      <c r="B217" s="7" t="s">
        <v>202</v>
      </c>
      <c r="C217" s="6" t="s">
        <v>203</v>
      </c>
      <c r="D217" s="8">
        <v>134.5</v>
      </c>
      <c r="E217" s="8">
        <v>139</v>
      </c>
      <c r="F217" s="8">
        <v>152.9</v>
      </c>
      <c r="G217" s="8">
        <v>230.8</v>
      </c>
      <c r="H217" s="8">
        <v>273.2</v>
      </c>
      <c r="I217" s="8">
        <v>306.5</v>
      </c>
      <c r="J217" s="8">
        <v>290.3</v>
      </c>
      <c r="K217" s="8">
        <v>358.2</v>
      </c>
      <c r="L217" s="8">
        <v>352.8</v>
      </c>
      <c r="M217" s="8">
        <v>378.9</v>
      </c>
    </row>
    <row r="218" spans="1:13" x14ac:dyDescent="0.2">
      <c r="A218" s="6">
        <v>59</v>
      </c>
      <c r="B218" s="7" t="s">
        <v>205</v>
      </c>
      <c r="C218" s="6" t="s">
        <v>206</v>
      </c>
      <c r="D218" s="8">
        <v>335.6</v>
      </c>
      <c r="E218" s="8">
        <v>473.8</v>
      </c>
      <c r="F218" s="8">
        <v>455.1</v>
      </c>
      <c r="G218" s="8">
        <v>444</v>
      </c>
      <c r="H218" s="8">
        <v>486.7</v>
      </c>
      <c r="I218" s="8">
        <v>449.8</v>
      </c>
      <c r="J218" s="8">
        <v>424.1</v>
      </c>
      <c r="K218" s="8">
        <v>440.9</v>
      </c>
      <c r="L218" s="8">
        <v>429.1</v>
      </c>
      <c r="M218" s="8">
        <v>557.4</v>
      </c>
    </row>
    <row r="219" spans="1:13" x14ac:dyDescent="0.2">
      <c r="A219" s="6">
        <v>60</v>
      </c>
      <c r="B219" s="7" t="s">
        <v>208</v>
      </c>
      <c r="C219" s="6" t="s">
        <v>209</v>
      </c>
      <c r="D219" s="8">
        <v>31.2</v>
      </c>
      <c r="E219" s="8">
        <v>26.7</v>
      </c>
      <c r="F219" s="8">
        <v>20.100000000000001</v>
      </c>
      <c r="G219" s="8">
        <v>11.5</v>
      </c>
      <c r="H219" s="8">
        <v>18.5</v>
      </c>
      <c r="I219" s="8">
        <v>17.899999999999999</v>
      </c>
      <c r="J219" s="8">
        <v>47.9</v>
      </c>
      <c r="K219" s="8">
        <v>13.6</v>
      </c>
      <c r="L219" s="8">
        <v>0</v>
      </c>
      <c r="M219" s="8">
        <v>34.1</v>
      </c>
    </row>
    <row r="220" spans="1:13" x14ac:dyDescent="0.2">
      <c r="A220" s="6">
        <v>61</v>
      </c>
      <c r="B220" s="7" t="s">
        <v>211</v>
      </c>
      <c r="C220" s="6" t="s">
        <v>212</v>
      </c>
      <c r="D220" s="8">
        <v>0</v>
      </c>
      <c r="E220" s="8">
        <v>0</v>
      </c>
      <c r="F220" s="8">
        <v>2.5</v>
      </c>
      <c r="G220" s="8">
        <v>4.3600000000000003</v>
      </c>
      <c r="H220" s="8">
        <v>4.7699999999999996</v>
      </c>
      <c r="I220" s="8">
        <v>2.92</v>
      </c>
      <c r="J220" s="8">
        <v>1.66</v>
      </c>
      <c r="K220" s="8">
        <v>0</v>
      </c>
      <c r="L220" s="8">
        <v>0</v>
      </c>
      <c r="M220" s="8">
        <v>0</v>
      </c>
    </row>
    <row r="221" spans="1:13" x14ac:dyDescent="0.2">
      <c r="A221" s="6">
        <v>62</v>
      </c>
      <c r="B221" s="7" t="s">
        <v>214</v>
      </c>
      <c r="C221" s="6" t="s">
        <v>215</v>
      </c>
      <c r="D221" s="8">
        <v>0</v>
      </c>
      <c r="E221" s="8">
        <v>0</v>
      </c>
      <c r="F221" s="8">
        <v>0</v>
      </c>
      <c r="G221" s="8">
        <v>0</v>
      </c>
      <c r="H221" s="8">
        <v>7.34</v>
      </c>
      <c r="I221" s="8">
        <v>47.5</v>
      </c>
      <c r="J221" s="8">
        <v>45.3</v>
      </c>
      <c r="K221" s="8">
        <v>389.2</v>
      </c>
      <c r="L221" s="8">
        <v>355.9</v>
      </c>
      <c r="M221" s="8">
        <v>356.2</v>
      </c>
    </row>
    <row r="222" spans="1:13" x14ac:dyDescent="0.2">
      <c r="A222" s="6">
        <v>63</v>
      </c>
      <c r="B222" s="7" t="s">
        <v>217</v>
      </c>
      <c r="C222" s="6" t="s">
        <v>218</v>
      </c>
      <c r="D222" s="8">
        <v>0</v>
      </c>
      <c r="E222" s="8">
        <v>0</v>
      </c>
      <c r="F222" s="8">
        <v>0</v>
      </c>
      <c r="G222" s="8">
        <v>0</v>
      </c>
      <c r="H222" s="8">
        <v>0</v>
      </c>
      <c r="I222" s="8">
        <v>0</v>
      </c>
      <c r="J222" s="8">
        <v>0</v>
      </c>
      <c r="K222" s="8">
        <v>0</v>
      </c>
      <c r="L222" s="8">
        <v>0</v>
      </c>
      <c r="M222" s="8">
        <v>0</v>
      </c>
    </row>
    <row r="223" spans="1:13" x14ac:dyDescent="0.2">
      <c r="A223" s="6">
        <v>64</v>
      </c>
      <c r="B223" s="7" t="s">
        <v>220</v>
      </c>
      <c r="C223" s="6" t="s">
        <v>221</v>
      </c>
      <c r="D223" s="8">
        <v>461.8</v>
      </c>
      <c r="E223" s="8">
        <v>391</v>
      </c>
      <c r="F223" s="8">
        <v>386.6</v>
      </c>
      <c r="G223" s="8">
        <v>396.8</v>
      </c>
      <c r="H223" s="8">
        <v>508</v>
      </c>
      <c r="I223" s="8">
        <v>515.29999999999995</v>
      </c>
      <c r="J223" s="8">
        <v>483.8</v>
      </c>
      <c r="K223" s="8">
        <v>402.8</v>
      </c>
      <c r="L223" s="8">
        <v>3.05</v>
      </c>
      <c r="M223" s="8"/>
    </row>
    <row r="224" spans="1:13" ht="30" x14ac:dyDescent="0.2">
      <c r="A224" s="6">
        <v>65</v>
      </c>
      <c r="B224" s="7" t="s">
        <v>223</v>
      </c>
      <c r="C224" s="6" t="s">
        <v>224</v>
      </c>
      <c r="D224" s="8">
        <v>84.9</v>
      </c>
      <c r="E224" s="8">
        <v>95.9</v>
      </c>
      <c r="F224" s="8">
        <v>106.9</v>
      </c>
      <c r="G224" s="8">
        <v>121.6</v>
      </c>
      <c r="H224" s="8">
        <v>127.8</v>
      </c>
      <c r="I224" s="8">
        <v>125.1</v>
      </c>
      <c r="J224" s="8">
        <v>118.7</v>
      </c>
      <c r="K224" s="8">
        <v>190.6</v>
      </c>
      <c r="L224" s="8">
        <v>216.9</v>
      </c>
      <c r="M224" s="8">
        <v>219.3</v>
      </c>
    </row>
    <row r="225" spans="1:13" x14ac:dyDescent="0.2">
      <c r="A225" s="6">
        <v>66</v>
      </c>
      <c r="B225" s="7" t="s">
        <v>226</v>
      </c>
      <c r="C225" s="6" t="s">
        <v>227</v>
      </c>
      <c r="D225" s="8">
        <v>47</v>
      </c>
      <c r="E225" s="8">
        <v>260.3</v>
      </c>
      <c r="F225" s="8">
        <v>246</v>
      </c>
      <c r="G225" s="8">
        <v>231.9</v>
      </c>
      <c r="H225" s="8">
        <v>712.3</v>
      </c>
      <c r="I225" s="8">
        <v>494.6</v>
      </c>
      <c r="J225" s="8">
        <v>495.3</v>
      </c>
      <c r="K225" s="8">
        <v>496</v>
      </c>
      <c r="L225" s="8">
        <v>496.8</v>
      </c>
      <c r="M225" s="8">
        <v>497.7</v>
      </c>
    </row>
    <row r="226" spans="1:13" x14ac:dyDescent="0.2">
      <c r="A226" s="6">
        <v>67</v>
      </c>
      <c r="B226" s="7" t="s">
        <v>229</v>
      </c>
      <c r="C226" s="6" t="s">
        <v>230</v>
      </c>
      <c r="D226" s="8">
        <v>1.89</v>
      </c>
      <c r="E226" s="8">
        <v>1.7</v>
      </c>
      <c r="F226" s="8">
        <v>1.5</v>
      </c>
      <c r="G226" s="8">
        <v>1.32</v>
      </c>
      <c r="H226" s="8">
        <v>1.07</v>
      </c>
      <c r="I226" s="8">
        <v>0.97499999999999998</v>
      </c>
      <c r="J226" s="8">
        <v>10.199999999999999</v>
      </c>
      <c r="K226" s="8">
        <v>9.7100000000000009</v>
      </c>
      <c r="L226" s="8">
        <v>0</v>
      </c>
      <c r="M226" s="8">
        <v>11.8</v>
      </c>
    </row>
    <row r="227" spans="1:13" ht="30" x14ac:dyDescent="0.2">
      <c r="A227" s="6">
        <v>68</v>
      </c>
      <c r="B227" s="7" t="s">
        <v>232</v>
      </c>
      <c r="C227" s="6" t="s">
        <v>233</v>
      </c>
      <c r="D227" s="8">
        <v>22.1</v>
      </c>
      <c r="E227" s="8">
        <v>15.3</v>
      </c>
      <c r="F227" s="8">
        <v>809.9</v>
      </c>
      <c r="G227" s="8">
        <v>684.8</v>
      </c>
      <c r="H227" s="8">
        <v>591.5</v>
      </c>
      <c r="I227" s="8">
        <v>508</v>
      </c>
      <c r="J227" s="8">
        <v>501.8</v>
      </c>
      <c r="K227" s="8">
        <v>368</v>
      </c>
      <c r="L227" s="8">
        <v>366.1</v>
      </c>
      <c r="M227" s="8">
        <v>362.4</v>
      </c>
    </row>
    <row r="228" spans="1:13" x14ac:dyDescent="0.2">
      <c r="A228" s="6">
        <v>69</v>
      </c>
      <c r="B228" s="7" t="s">
        <v>235</v>
      </c>
      <c r="C228" s="6" t="s">
        <v>236</v>
      </c>
      <c r="D228" s="8">
        <v>0</v>
      </c>
      <c r="E228" s="8">
        <v>0</v>
      </c>
      <c r="F228" s="8">
        <v>0</v>
      </c>
      <c r="G228" s="8">
        <v>0</v>
      </c>
      <c r="H228" s="8">
        <v>0</v>
      </c>
      <c r="I228" s="8">
        <v>0</v>
      </c>
      <c r="J228" s="8">
        <v>0</v>
      </c>
      <c r="K228" s="8">
        <v>0</v>
      </c>
      <c r="L228" s="8">
        <v>0</v>
      </c>
      <c r="M228" s="8">
        <v>0</v>
      </c>
    </row>
    <row r="229" spans="1:13" x14ac:dyDescent="0.2">
      <c r="A229" s="6">
        <v>70</v>
      </c>
      <c r="B229" s="7" t="s">
        <v>238</v>
      </c>
      <c r="C229" s="6" t="s">
        <v>239</v>
      </c>
      <c r="D229" s="8">
        <v>7.01</v>
      </c>
      <c r="E229" s="8">
        <v>0</v>
      </c>
      <c r="F229" s="8">
        <v>0</v>
      </c>
      <c r="G229" s="8">
        <v>0</v>
      </c>
      <c r="H229" s="8">
        <v>0</v>
      </c>
      <c r="I229" s="8">
        <v>0</v>
      </c>
      <c r="J229" s="8">
        <v>0</v>
      </c>
      <c r="K229" s="8">
        <v>0</v>
      </c>
      <c r="L229" s="8">
        <v>0</v>
      </c>
      <c r="M229" s="8">
        <v>0</v>
      </c>
    </row>
    <row r="230" spans="1:13" x14ac:dyDescent="0.2">
      <c r="A230" s="6">
        <v>71</v>
      </c>
      <c r="B230" s="7" t="s">
        <v>241</v>
      </c>
      <c r="C230" s="6" t="s">
        <v>242</v>
      </c>
      <c r="D230" s="8">
        <v>24.2</v>
      </c>
      <c r="E230" s="8">
        <v>21.9</v>
      </c>
      <c r="F230" s="8">
        <v>0</v>
      </c>
      <c r="G230" s="8">
        <v>0</v>
      </c>
      <c r="H230" s="8">
        <v>30.1</v>
      </c>
      <c r="I230" s="8">
        <v>50.4</v>
      </c>
      <c r="J230" s="8">
        <v>87.7</v>
      </c>
      <c r="K230" s="8">
        <v>43.8</v>
      </c>
      <c r="L230" s="8">
        <v>18.5</v>
      </c>
      <c r="M230" s="8">
        <v>11.3</v>
      </c>
    </row>
    <row r="231" spans="1:13" x14ac:dyDescent="0.2">
      <c r="A231" s="6">
        <v>72</v>
      </c>
      <c r="B231" s="7" t="s">
        <v>244</v>
      </c>
      <c r="C231" s="6" t="s">
        <v>245</v>
      </c>
      <c r="D231" s="8">
        <v>264.8</v>
      </c>
      <c r="E231" s="8">
        <v>248.3</v>
      </c>
      <c r="F231" s="8">
        <v>200</v>
      </c>
      <c r="G231" s="8">
        <v>297</v>
      </c>
      <c r="H231" s="8">
        <v>275</v>
      </c>
      <c r="I231" s="8">
        <v>135</v>
      </c>
      <c r="J231" s="8">
        <v>115</v>
      </c>
      <c r="K231" s="8">
        <v>170</v>
      </c>
      <c r="L231" s="8">
        <v>195</v>
      </c>
      <c r="M231" s="8">
        <v>215</v>
      </c>
    </row>
    <row r="232" spans="1:13" x14ac:dyDescent="0.2">
      <c r="A232" s="6">
        <v>73</v>
      </c>
      <c r="B232" s="7" t="s">
        <v>247</v>
      </c>
      <c r="C232" s="6" t="s">
        <v>248</v>
      </c>
      <c r="D232" s="8">
        <v>56.3</v>
      </c>
      <c r="E232" s="8">
        <v>77.3</v>
      </c>
      <c r="F232" s="8">
        <v>84.8</v>
      </c>
      <c r="G232" s="8">
        <v>98.1</v>
      </c>
      <c r="H232" s="8">
        <v>102.9</v>
      </c>
      <c r="I232" s="8">
        <v>91</v>
      </c>
      <c r="J232" s="8">
        <v>89.9</v>
      </c>
      <c r="K232" s="8">
        <v>90.6</v>
      </c>
      <c r="L232" s="8">
        <v>105</v>
      </c>
      <c r="M232" s="8">
        <v>113.4</v>
      </c>
    </row>
    <row r="233" spans="1:13" x14ac:dyDescent="0.2">
      <c r="A233" s="6">
        <v>74</v>
      </c>
      <c r="B233" s="7" t="s">
        <v>250</v>
      </c>
      <c r="C233" s="6" t="s">
        <v>251</v>
      </c>
      <c r="D233" s="8">
        <v>0</v>
      </c>
      <c r="E233" s="8">
        <v>0</v>
      </c>
      <c r="F233" s="8">
        <v>0</v>
      </c>
      <c r="G233" s="8">
        <v>0</v>
      </c>
      <c r="H233" s="8">
        <v>0</v>
      </c>
      <c r="I233" s="8">
        <v>0</v>
      </c>
      <c r="J233" s="8">
        <v>0</v>
      </c>
      <c r="K233" s="8">
        <v>0</v>
      </c>
      <c r="L233" s="8">
        <v>0</v>
      </c>
      <c r="M233" s="8">
        <v>0</v>
      </c>
    </row>
    <row r="234" spans="1:13" x14ac:dyDescent="0.2">
      <c r="A234" s="6">
        <v>75</v>
      </c>
      <c r="B234" s="7" t="s">
        <v>253</v>
      </c>
      <c r="C234" s="6" t="s">
        <v>254</v>
      </c>
      <c r="D234" s="8">
        <v>0</v>
      </c>
      <c r="E234" s="8">
        <v>0</v>
      </c>
      <c r="F234" s="8">
        <v>0</v>
      </c>
      <c r="G234" s="8">
        <v>0</v>
      </c>
      <c r="H234" s="8">
        <v>0</v>
      </c>
      <c r="I234" s="8">
        <v>0</v>
      </c>
      <c r="J234" s="8">
        <v>0</v>
      </c>
      <c r="K234" s="8">
        <v>0</v>
      </c>
      <c r="L234" s="8">
        <v>0</v>
      </c>
      <c r="M234" s="8">
        <v>0</v>
      </c>
    </row>
    <row r="235" spans="1:13" x14ac:dyDescent="0.2">
      <c r="A235" s="6">
        <v>76</v>
      </c>
      <c r="B235" s="7" t="s">
        <v>256</v>
      </c>
      <c r="C235" s="6" t="s">
        <v>257</v>
      </c>
      <c r="D235" s="8">
        <v>0</v>
      </c>
      <c r="E235" s="8"/>
      <c r="F235" s="8">
        <v>0</v>
      </c>
      <c r="G235" s="8">
        <v>0</v>
      </c>
      <c r="H235" s="8">
        <v>0</v>
      </c>
      <c r="I235" s="8">
        <v>0</v>
      </c>
      <c r="J235" s="8">
        <v>0</v>
      </c>
      <c r="K235" s="8">
        <v>0</v>
      </c>
      <c r="L235" s="8">
        <v>0</v>
      </c>
      <c r="M235" s="8">
        <v>0</v>
      </c>
    </row>
    <row r="236" spans="1:13" x14ac:dyDescent="0.2">
      <c r="A236" s="6">
        <v>77</v>
      </c>
      <c r="B236" s="7" t="s">
        <v>259</v>
      </c>
      <c r="C236" s="6" t="s">
        <v>260</v>
      </c>
      <c r="D236" s="8">
        <v>266.5</v>
      </c>
      <c r="E236" s="8">
        <v>335.5</v>
      </c>
      <c r="F236" s="8">
        <v>322.7</v>
      </c>
      <c r="G236" s="8">
        <v>289</v>
      </c>
      <c r="H236" s="8">
        <v>268</v>
      </c>
      <c r="I236" s="8">
        <v>245</v>
      </c>
      <c r="J236" s="8">
        <v>238.2</v>
      </c>
      <c r="K236" s="8">
        <v>233.8</v>
      </c>
      <c r="L236" s="8">
        <v>211.3</v>
      </c>
      <c r="M236" s="8">
        <v>283.3</v>
      </c>
    </row>
    <row r="237" spans="1:13" x14ac:dyDescent="0.2">
      <c r="A237" s="6">
        <v>78</v>
      </c>
      <c r="B237" s="7" t="s">
        <v>262</v>
      </c>
      <c r="C237" s="6" t="s">
        <v>263</v>
      </c>
      <c r="D237" s="8">
        <v>73.7</v>
      </c>
      <c r="E237" s="8">
        <v>86.6</v>
      </c>
      <c r="F237" s="8">
        <v>56.8</v>
      </c>
      <c r="G237" s="8">
        <v>14.4</v>
      </c>
      <c r="H237" s="8">
        <v>33</v>
      </c>
      <c r="I237" s="8">
        <v>15.7</v>
      </c>
      <c r="J237" s="8">
        <v>44.9</v>
      </c>
      <c r="K237" s="8">
        <v>34.700000000000003</v>
      </c>
      <c r="L237" s="8">
        <v>0</v>
      </c>
      <c r="M237" s="8">
        <v>3.38</v>
      </c>
    </row>
    <row r="238" spans="1:13" ht="30" x14ac:dyDescent="0.2">
      <c r="A238" s="6">
        <v>79</v>
      </c>
      <c r="B238" s="7" t="s">
        <v>265</v>
      </c>
      <c r="C238" s="6" t="s">
        <v>266</v>
      </c>
      <c r="D238" s="8">
        <v>0.55300000000000005</v>
      </c>
      <c r="E238" s="8">
        <v>0.35199999999999998</v>
      </c>
      <c r="F238" s="8">
        <v>0.151</v>
      </c>
      <c r="G238" s="8">
        <v>4.58</v>
      </c>
      <c r="H238" s="8">
        <v>3.68</v>
      </c>
      <c r="I238" s="8">
        <v>3</v>
      </c>
      <c r="J238" s="8">
        <v>1.57</v>
      </c>
      <c r="K238" s="8">
        <v>5.44</v>
      </c>
      <c r="L238" s="8">
        <v>6.83</v>
      </c>
      <c r="M238" s="8">
        <v>6.62</v>
      </c>
    </row>
    <row r="239" spans="1:13" x14ac:dyDescent="0.2">
      <c r="A239" s="6">
        <v>80</v>
      </c>
      <c r="B239" s="7" t="s">
        <v>268</v>
      </c>
      <c r="C239" s="6" t="s">
        <v>269</v>
      </c>
      <c r="D239" s="8">
        <v>245.1</v>
      </c>
      <c r="E239" s="8">
        <v>233</v>
      </c>
      <c r="F239" s="8">
        <v>218.9</v>
      </c>
      <c r="G239" s="8">
        <v>210.5</v>
      </c>
      <c r="H239" s="8">
        <v>22.1</v>
      </c>
      <c r="I239" s="8">
        <v>74.8</v>
      </c>
      <c r="J239" s="8">
        <v>101.4</v>
      </c>
      <c r="K239" s="8">
        <v>91.2</v>
      </c>
      <c r="L239" s="8">
        <v>95.8</v>
      </c>
      <c r="M239" s="8">
        <v>128.69999999999999</v>
      </c>
    </row>
    <row r="240" spans="1:13" x14ac:dyDescent="0.2">
      <c r="A240" s="6">
        <v>81</v>
      </c>
      <c r="B240" s="7" t="s">
        <v>271</v>
      </c>
      <c r="C240" s="6" t="s">
        <v>272</v>
      </c>
      <c r="D240" s="8">
        <v>0</v>
      </c>
      <c r="E240" s="8">
        <v>5.9</v>
      </c>
      <c r="F240" s="8">
        <v>0</v>
      </c>
      <c r="G240" s="8">
        <v>0</v>
      </c>
      <c r="H240" s="8">
        <v>0</v>
      </c>
      <c r="I240" s="8">
        <v>0</v>
      </c>
      <c r="J240" s="8">
        <v>0</v>
      </c>
      <c r="K240" s="8">
        <v>0</v>
      </c>
      <c r="L240" s="8">
        <v>0</v>
      </c>
      <c r="M240" s="8">
        <v>0</v>
      </c>
    </row>
    <row r="241" spans="1:13" ht="30" x14ac:dyDescent="0.2">
      <c r="A241" s="6">
        <v>82</v>
      </c>
      <c r="B241" s="7" t="s">
        <v>274</v>
      </c>
      <c r="C241" s="6" t="s">
        <v>275</v>
      </c>
      <c r="D241" s="8">
        <v>0</v>
      </c>
      <c r="E241" s="8">
        <v>0</v>
      </c>
      <c r="F241" s="8">
        <v>0</v>
      </c>
      <c r="G241" s="8">
        <v>0</v>
      </c>
      <c r="H241" s="8">
        <v>0</v>
      </c>
      <c r="I241" s="8">
        <v>151.80000000000001</v>
      </c>
      <c r="J241" s="8">
        <v>93.2</v>
      </c>
      <c r="K241" s="8">
        <v>94.7</v>
      </c>
      <c r="L241" s="8">
        <v>93.4</v>
      </c>
      <c r="M241" s="8">
        <v>94.7</v>
      </c>
    </row>
    <row r="242" spans="1:13" x14ac:dyDescent="0.2">
      <c r="A242" s="6">
        <v>83</v>
      </c>
      <c r="B242" s="7" t="s">
        <v>277</v>
      </c>
      <c r="C242" s="6" t="s">
        <v>278</v>
      </c>
      <c r="D242" s="8">
        <v>5</v>
      </c>
      <c r="E242" s="8">
        <v>10.199999999999999</v>
      </c>
      <c r="F242" s="8">
        <v>15.5</v>
      </c>
      <c r="G242" s="8">
        <v>5</v>
      </c>
      <c r="H242" s="8">
        <v>0</v>
      </c>
      <c r="I242" s="8">
        <v>0</v>
      </c>
      <c r="J242" s="8">
        <v>45</v>
      </c>
      <c r="K242" s="8">
        <v>60</v>
      </c>
      <c r="L242" s="8">
        <v>65</v>
      </c>
      <c r="M242" s="8">
        <v>31.1</v>
      </c>
    </row>
    <row r="243" spans="1:13" x14ac:dyDescent="0.2">
      <c r="A243" s="6">
        <v>84</v>
      </c>
      <c r="B243" s="7" t="s">
        <v>280</v>
      </c>
      <c r="C243" s="6" t="s">
        <v>281</v>
      </c>
      <c r="D243" s="8">
        <v>359.2</v>
      </c>
      <c r="E243" s="8">
        <v>319.8</v>
      </c>
      <c r="F243" s="8">
        <v>440.6</v>
      </c>
      <c r="G243" s="8">
        <v>617.20000000000005</v>
      </c>
      <c r="H243" s="8">
        <v>858</v>
      </c>
      <c r="I243" s="8">
        <v>842.3</v>
      </c>
      <c r="J243" s="8">
        <v>843.5</v>
      </c>
      <c r="K243" s="8">
        <v>1304.7</v>
      </c>
      <c r="L243" s="8">
        <v>1055.9000000000001</v>
      </c>
      <c r="M243" s="8">
        <v>767.1</v>
      </c>
    </row>
    <row r="244" spans="1:13" x14ac:dyDescent="0.2">
      <c r="A244" s="6">
        <v>85</v>
      </c>
      <c r="B244" s="7" t="s">
        <v>283</v>
      </c>
      <c r="C244" s="6" t="s">
        <v>284</v>
      </c>
      <c r="D244" s="8">
        <v>5.22</v>
      </c>
      <c r="E244" s="8">
        <v>3.35</v>
      </c>
      <c r="F244" s="8">
        <v>1.74</v>
      </c>
      <c r="G244" s="8">
        <v>2.08</v>
      </c>
      <c r="H244" s="8">
        <v>3.21</v>
      </c>
      <c r="I244" s="8">
        <v>39.799999999999997</v>
      </c>
      <c r="J244" s="8">
        <v>43.4</v>
      </c>
      <c r="K244" s="8">
        <v>38.4</v>
      </c>
      <c r="L244" s="8">
        <v>33.200000000000003</v>
      </c>
      <c r="M244" s="8">
        <v>29.9</v>
      </c>
    </row>
    <row r="245" spans="1:13" x14ac:dyDescent="0.2">
      <c r="A245" s="6">
        <v>86</v>
      </c>
      <c r="B245" s="7" t="s">
        <v>286</v>
      </c>
      <c r="C245" s="6" t="s">
        <v>287</v>
      </c>
      <c r="D245" s="8">
        <v>14.7</v>
      </c>
      <c r="E245" s="8">
        <v>5</v>
      </c>
      <c r="F245" s="8">
        <v>13</v>
      </c>
      <c r="G245" s="8">
        <v>3</v>
      </c>
      <c r="H245" s="8">
        <v>13</v>
      </c>
      <c r="I245" s="8">
        <v>13</v>
      </c>
      <c r="J245" s="8">
        <v>8</v>
      </c>
      <c r="K245" s="8">
        <v>5</v>
      </c>
      <c r="L245" s="8">
        <v>0</v>
      </c>
      <c r="M245" s="8">
        <v>0</v>
      </c>
    </row>
    <row r="246" spans="1:13" x14ac:dyDescent="0.2">
      <c r="A246" s="6">
        <v>87</v>
      </c>
      <c r="B246" s="7" t="s">
        <v>289</v>
      </c>
      <c r="C246" s="6" t="s">
        <v>290</v>
      </c>
      <c r="D246" s="8">
        <v>172.6</v>
      </c>
      <c r="E246" s="8">
        <v>126.7</v>
      </c>
      <c r="F246" s="8">
        <v>97.4</v>
      </c>
      <c r="G246" s="8">
        <v>1.67</v>
      </c>
      <c r="H246" s="8">
        <v>20</v>
      </c>
      <c r="I246" s="8">
        <v>28.4</v>
      </c>
      <c r="J246" s="8">
        <v>62.4</v>
      </c>
      <c r="K246" s="8">
        <v>78.7</v>
      </c>
      <c r="L246" s="8">
        <v>106.4</v>
      </c>
      <c r="M246" s="8">
        <v>157.80000000000001</v>
      </c>
    </row>
    <row r="247" spans="1:13" x14ac:dyDescent="0.2">
      <c r="A247" s="6">
        <v>88</v>
      </c>
      <c r="B247" s="7" t="s">
        <v>292</v>
      </c>
      <c r="C247" s="6" t="s">
        <v>293</v>
      </c>
      <c r="D247" s="8">
        <v>20.2</v>
      </c>
      <c r="E247" s="8">
        <v>14.8</v>
      </c>
      <c r="F247" s="8">
        <v>8.94</v>
      </c>
      <c r="G247" s="8">
        <v>0</v>
      </c>
      <c r="H247" s="8">
        <v>0</v>
      </c>
      <c r="I247" s="8">
        <v>0</v>
      </c>
      <c r="J247" s="8">
        <v>0</v>
      </c>
      <c r="K247" s="8">
        <v>0</v>
      </c>
      <c r="L247" s="8">
        <v>0</v>
      </c>
      <c r="M247" s="8">
        <v>0</v>
      </c>
    </row>
    <row r="248" spans="1:13" x14ac:dyDescent="0.2">
      <c r="A248" s="6">
        <v>89</v>
      </c>
      <c r="B248" s="7" t="s">
        <v>295</v>
      </c>
      <c r="C248" s="6" t="s">
        <v>296</v>
      </c>
      <c r="D248" s="8">
        <v>308.39999999999998</v>
      </c>
      <c r="E248" s="8">
        <v>276.5</v>
      </c>
      <c r="F248" s="8">
        <v>244.9</v>
      </c>
      <c r="G248" s="8">
        <v>227.3</v>
      </c>
      <c r="H248" s="8">
        <v>245.7</v>
      </c>
      <c r="I248" s="8">
        <v>209</v>
      </c>
      <c r="J248" s="8">
        <v>198.2</v>
      </c>
      <c r="K248" s="8">
        <v>182.2</v>
      </c>
      <c r="L248" s="8">
        <v>147.19999999999999</v>
      </c>
      <c r="M248" s="8">
        <v>135.6</v>
      </c>
    </row>
    <row r="249" spans="1:13" x14ac:dyDescent="0.2">
      <c r="A249" s="6">
        <v>90</v>
      </c>
      <c r="B249" s="7" t="s">
        <v>298</v>
      </c>
      <c r="C249" s="6" t="s">
        <v>299</v>
      </c>
      <c r="D249" s="8">
        <v>2.7E-2</v>
      </c>
      <c r="E249" s="8">
        <v>1.6E-2</v>
      </c>
      <c r="F249" s="8">
        <v>0</v>
      </c>
      <c r="G249" s="8">
        <v>0</v>
      </c>
      <c r="H249" s="8">
        <v>0</v>
      </c>
      <c r="I249" s="8">
        <v>0</v>
      </c>
      <c r="J249" s="8">
        <v>0</v>
      </c>
      <c r="K249" s="8">
        <v>0</v>
      </c>
      <c r="L249" s="8">
        <v>0</v>
      </c>
      <c r="M249" s="8">
        <v>0</v>
      </c>
    </row>
    <row r="250" spans="1:13" ht="30" x14ac:dyDescent="0.2">
      <c r="A250" s="6">
        <v>91</v>
      </c>
      <c r="B250" s="7" t="s">
        <v>301</v>
      </c>
      <c r="C250" s="6" t="s">
        <v>302</v>
      </c>
      <c r="D250" s="8">
        <v>329.9</v>
      </c>
      <c r="E250" s="8">
        <v>256.60000000000002</v>
      </c>
      <c r="F250" s="8">
        <v>351.2</v>
      </c>
      <c r="G250" s="8">
        <v>378.5</v>
      </c>
      <c r="H250" s="8">
        <v>639.70000000000005</v>
      </c>
      <c r="I250" s="8">
        <v>600.79999999999995</v>
      </c>
      <c r="J250" s="8">
        <v>431.4</v>
      </c>
      <c r="K250" s="8">
        <v>1222.7</v>
      </c>
      <c r="L250" s="8">
        <v>1284</v>
      </c>
      <c r="M250" s="8">
        <v>1743</v>
      </c>
    </row>
    <row r="251" spans="1:13" x14ac:dyDescent="0.2">
      <c r="A251" s="6">
        <v>92</v>
      </c>
      <c r="B251" s="7" t="s">
        <v>304</v>
      </c>
      <c r="C251" s="6" t="s">
        <v>305</v>
      </c>
      <c r="D251" s="8">
        <v>40</v>
      </c>
      <c r="E251" s="8">
        <v>30</v>
      </c>
      <c r="F251" s="8">
        <v>30</v>
      </c>
      <c r="G251" s="8">
        <v>30</v>
      </c>
      <c r="H251" s="8">
        <v>0</v>
      </c>
      <c r="I251" s="8">
        <v>0</v>
      </c>
      <c r="J251" s="8">
        <v>0</v>
      </c>
      <c r="K251" s="8">
        <v>0</v>
      </c>
      <c r="L251" s="8">
        <v>0</v>
      </c>
      <c r="M251" s="8">
        <v>0</v>
      </c>
    </row>
    <row r="252" spans="1:13" ht="30" x14ac:dyDescent="0.2">
      <c r="A252" s="6">
        <v>93</v>
      </c>
      <c r="B252" s="7" t="s">
        <v>307</v>
      </c>
      <c r="C252" s="6" t="s">
        <v>308</v>
      </c>
      <c r="D252" s="8">
        <v>0</v>
      </c>
      <c r="E252" s="8">
        <v>0</v>
      </c>
      <c r="F252" s="8">
        <v>0</v>
      </c>
      <c r="G252" s="8">
        <v>0</v>
      </c>
      <c r="H252" s="8">
        <v>0</v>
      </c>
      <c r="I252" s="8">
        <v>0</v>
      </c>
      <c r="J252" s="8">
        <v>0</v>
      </c>
      <c r="K252" s="8">
        <v>17.5</v>
      </c>
      <c r="L252" s="8">
        <v>28</v>
      </c>
      <c r="M252" s="8">
        <v>21.7</v>
      </c>
    </row>
    <row r="253" spans="1:13" x14ac:dyDescent="0.2">
      <c r="A253" s="6">
        <v>94</v>
      </c>
      <c r="B253" s="7" t="s">
        <v>310</v>
      </c>
      <c r="C253" s="6" t="s">
        <v>311</v>
      </c>
      <c r="D253" s="8">
        <v>8.6300000000000008</v>
      </c>
      <c r="E253" s="8">
        <v>11.3</v>
      </c>
      <c r="F253" s="8">
        <v>12.6</v>
      </c>
      <c r="G253" s="8">
        <v>11.1</v>
      </c>
      <c r="H253" s="8">
        <v>21.2</v>
      </c>
      <c r="I253" s="8">
        <v>19.600000000000001</v>
      </c>
      <c r="J253" s="8">
        <v>23.1</v>
      </c>
      <c r="K253" s="8">
        <v>21.8</v>
      </c>
      <c r="L253" s="8">
        <v>20.5</v>
      </c>
      <c r="M253" s="8">
        <v>19.100000000000001</v>
      </c>
    </row>
    <row r="254" spans="1:13" x14ac:dyDescent="0.2">
      <c r="A254" s="6">
        <v>95</v>
      </c>
      <c r="B254" s="7" t="s">
        <v>313</v>
      </c>
      <c r="C254" s="6" t="s">
        <v>314</v>
      </c>
      <c r="D254" s="8">
        <v>516.20000000000005</v>
      </c>
      <c r="E254" s="8">
        <v>501.7</v>
      </c>
      <c r="F254" s="8">
        <v>530.5</v>
      </c>
      <c r="G254" s="8">
        <v>590.5</v>
      </c>
      <c r="H254" s="8">
        <v>640.20000000000005</v>
      </c>
      <c r="I254" s="8">
        <v>783</v>
      </c>
      <c r="J254" s="8">
        <v>778.9</v>
      </c>
      <c r="K254" s="8">
        <v>724.2</v>
      </c>
      <c r="L254" s="8">
        <v>674.8</v>
      </c>
      <c r="M254" s="8">
        <v>623.9</v>
      </c>
    </row>
    <row r="255" spans="1:13" x14ac:dyDescent="0.2">
      <c r="A255" s="6">
        <v>96</v>
      </c>
      <c r="B255" s="7" t="s">
        <v>316</v>
      </c>
      <c r="C255" s="6" t="s">
        <v>317</v>
      </c>
      <c r="D255" s="8">
        <v>168.7</v>
      </c>
      <c r="E255" s="8">
        <v>164.5</v>
      </c>
      <c r="F255" s="8">
        <v>166.6</v>
      </c>
      <c r="G255" s="8">
        <v>200.2</v>
      </c>
      <c r="H255" s="8">
        <v>47.9</v>
      </c>
      <c r="I255" s="8">
        <v>20.3</v>
      </c>
      <c r="J255" s="8">
        <v>90.4</v>
      </c>
      <c r="K255" s="8">
        <v>196.9</v>
      </c>
      <c r="L255" s="8">
        <v>187.1</v>
      </c>
      <c r="M255" s="8">
        <v>234</v>
      </c>
    </row>
    <row r="256" spans="1:13" x14ac:dyDescent="0.2">
      <c r="A256" s="6">
        <v>97</v>
      </c>
      <c r="B256" s="7" t="s">
        <v>319</v>
      </c>
      <c r="C256" s="6" t="s">
        <v>320</v>
      </c>
      <c r="D256" s="8">
        <v>57</v>
      </c>
      <c r="E256" s="8">
        <v>27</v>
      </c>
      <c r="F256" s="8">
        <v>53.4</v>
      </c>
      <c r="G256" s="8">
        <v>276.89999999999998</v>
      </c>
      <c r="H256" s="8">
        <v>336.8</v>
      </c>
      <c r="I256" s="8">
        <v>225.4</v>
      </c>
      <c r="J256" s="8">
        <v>197.5</v>
      </c>
      <c r="K256" s="8">
        <v>303.60000000000002</v>
      </c>
      <c r="L256" s="8">
        <v>332.8</v>
      </c>
      <c r="M256" s="8">
        <v>323.10000000000002</v>
      </c>
    </row>
    <row r="257" spans="1:13" x14ac:dyDescent="0.2">
      <c r="A257" s="6">
        <v>98</v>
      </c>
      <c r="B257" s="7" t="s">
        <v>322</v>
      </c>
      <c r="C257" s="6" t="s">
        <v>323</v>
      </c>
      <c r="D257" s="8">
        <v>0</v>
      </c>
      <c r="E257" s="8">
        <v>0</v>
      </c>
      <c r="F257" s="8">
        <v>0</v>
      </c>
      <c r="G257" s="8">
        <v>0</v>
      </c>
      <c r="H257" s="8">
        <v>0</v>
      </c>
      <c r="I257" s="8">
        <v>0</v>
      </c>
      <c r="J257" s="8">
        <v>2.77</v>
      </c>
      <c r="K257" s="8">
        <v>2.2000000000000002</v>
      </c>
      <c r="L257" s="8">
        <v>1.84</v>
      </c>
      <c r="M257" s="8">
        <v>1.29</v>
      </c>
    </row>
    <row r="258" spans="1:13" x14ac:dyDescent="0.2">
      <c r="A258" s="6">
        <v>99</v>
      </c>
      <c r="B258" s="7" t="s">
        <v>325</v>
      </c>
      <c r="C258" s="6" t="s">
        <v>326</v>
      </c>
      <c r="D258" s="8">
        <v>416.5</v>
      </c>
      <c r="E258" s="8">
        <v>364.3</v>
      </c>
      <c r="F258" s="8">
        <v>353.4</v>
      </c>
      <c r="G258" s="8">
        <v>444.2</v>
      </c>
      <c r="H258" s="8">
        <v>449.6</v>
      </c>
      <c r="I258" s="8">
        <v>454.3</v>
      </c>
      <c r="J258" s="8">
        <v>441.4</v>
      </c>
      <c r="K258" s="8">
        <v>264.3</v>
      </c>
      <c r="L258" s="8">
        <v>535</v>
      </c>
      <c r="M258" s="8">
        <v>577.29999999999995</v>
      </c>
    </row>
    <row r="259" spans="1:13" x14ac:dyDescent="0.2">
      <c r="A259" s="6">
        <v>100</v>
      </c>
      <c r="B259" s="7" t="s">
        <v>328</v>
      </c>
      <c r="C259" s="6" t="s">
        <v>329</v>
      </c>
      <c r="D259" s="8">
        <v>0</v>
      </c>
      <c r="E259" s="8">
        <v>0</v>
      </c>
      <c r="F259" s="8">
        <v>0</v>
      </c>
      <c r="G259" s="8">
        <v>0</v>
      </c>
      <c r="H259" s="8">
        <v>0</v>
      </c>
      <c r="I259" s="8">
        <v>0</v>
      </c>
      <c r="J259" s="8">
        <v>0</v>
      </c>
      <c r="K259" s="8">
        <v>0</v>
      </c>
      <c r="L259" s="8">
        <v>0</v>
      </c>
      <c r="M259" s="8">
        <v>0</v>
      </c>
    </row>
    <row r="260" spans="1:13" x14ac:dyDescent="0.2">
      <c r="A260" s="6">
        <v>101</v>
      </c>
      <c r="B260" s="7" t="s">
        <v>331</v>
      </c>
      <c r="C260" s="6" t="s">
        <v>332</v>
      </c>
      <c r="D260" s="8">
        <v>1139.0999999999999</v>
      </c>
      <c r="E260" s="8">
        <v>1192.0999999999999</v>
      </c>
      <c r="F260" s="8">
        <v>1278.0999999999999</v>
      </c>
      <c r="G260" s="8">
        <v>1444.8</v>
      </c>
      <c r="H260" s="8">
        <v>1409.5</v>
      </c>
      <c r="I260" s="8">
        <v>1045.4000000000001</v>
      </c>
      <c r="J260" s="8">
        <v>1313</v>
      </c>
      <c r="K260" s="8">
        <v>1317.6</v>
      </c>
      <c r="L260" s="8">
        <v>1169.7</v>
      </c>
      <c r="M260" s="8">
        <v>1228.2</v>
      </c>
    </row>
    <row r="261" spans="1:13" x14ac:dyDescent="0.2">
      <c r="A261" s="6">
        <v>102</v>
      </c>
      <c r="B261" s="7" t="s">
        <v>334</v>
      </c>
      <c r="C261" s="6" t="s">
        <v>335</v>
      </c>
      <c r="D261" s="8">
        <v>2226</v>
      </c>
      <c r="E261" s="8">
        <v>1978.3</v>
      </c>
      <c r="F261" s="8">
        <v>2919</v>
      </c>
      <c r="G261" s="8">
        <v>2620.8000000000002</v>
      </c>
      <c r="H261" s="8">
        <v>2452.9</v>
      </c>
      <c r="I261" s="8">
        <v>2417</v>
      </c>
      <c r="J261" s="8">
        <v>3317.5</v>
      </c>
      <c r="K261" s="8">
        <v>3682</v>
      </c>
      <c r="L261" s="8">
        <v>3352.6</v>
      </c>
      <c r="M261" s="8">
        <v>3342.4</v>
      </c>
    </row>
    <row r="262" spans="1:13" x14ac:dyDescent="0.2">
      <c r="A262" s="6">
        <v>103</v>
      </c>
      <c r="B262" s="7" t="s">
        <v>337</v>
      </c>
      <c r="C262" s="6" t="s">
        <v>338</v>
      </c>
      <c r="D262" s="8">
        <v>0</v>
      </c>
      <c r="E262" s="8">
        <v>0</v>
      </c>
      <c r="F262" s="8">
        <v>0</v>
      </c>
      <c r="G262" s="8">
        <v>0</v>
      </c>
      <c r="H262" s="8">
        <v>0</v>
      </c>
      <c r="I262" s="8">
        <v>0</v>
      </c>
      <c r="J262" s="8">
        <v>0</v>
      </c>
      <c r="K262" s="8">
        <v>0</v>
      </c>
      <c r="L262" s="8">
        <v>0</v>
      </c>
      <c r="M262" s="8">
        <v>0</v>
      </c>
    </row>
    <row r="263" spans="1:13" x14ac:dyDescent="0.2">
      <c r="A263" s="6">
        <v>104</v>
      </c>
      <c r="B263" s="7" t="s">
        <v>340</v>
      </c>
      <c r="C263" s="6" t="s">
        <v>341</v>
      </c>
      <c r="D263" s="8">
        <v>1.18</v>
      </c>
      <c r="E263" s="8">
        <v>1.03</v>
      </c>
      <c r="F263" s="8">
        <v>0.871</v>
      </c>
      <c r="G263" s="8">
        <v>0.70799999999999996</v>
      </c>
      <c r="H263" s="8">
        <v>0.53800000000000003</v>
      </c>
      <c r="I263" s="8">
        <v>1</v>
      </c>
      <c r="J263" s="8">
        <v>0</v>
      </c>
      <c r="K263" s="8">
        <v>0</v>
      </c>
      <c r="L263" s="8">
        <v>0</v>
      </c>
      <c r="M263" s="8">
        <v>0</v>
      </c>
    </row>
    <row r="264" spans="1:13" x14ac:dyDescent="0.2">
      <c r="A264" s="6">
        <v>105</v>
      </c>
      <c r="B264" s="7" t="s">
        <v>343</v>
      </c>
      <c r="C264" s="6" t="s">
        <v>344</v>
      </c>
      <c r="D264" s="8">
        <v>239.4</v>
      </c>
      <c r="E264" s="8">
        <v>180.5</v>
      </c>
      <c r="F264" s="8">
        <v>126.7</v>
      </c>
      <c r="G264" s="8">
        <v>218.6</v>
      </c>
      <c r="H264" s="8">
        <v>174.6</v>
      </c>
      <c r="I264" s="8">
        <v>127.7</v>
      </c>
      <c r="J264" s="8">
        <v>39.299999999999997</v>
      </c>
      <c r="K264" s="8">
        <v>83.9</v>
      </c>
      <c r="L264" s="8">
        <v>109.2</v>
      </c>
      <c r="M264" s="8">
        <v>276.89999999999998</v>
      </c>
    </row>
    <row r="265" spans="1:13" x14ac:dyDescent="0.2">
      <c r="A265" s="6">
        <v>106</v>
      </c>
      <c r="B265" s="7" t="s">
        <v>346</v>
      </c>
      <c r="C265" s="6" t="s">
        <v>347</v>
      </c>
      <c r="D265" s="8">
        <v>617.5</v>
      </c>
      <c r="E265" s="8">
        <v>663</v>
      </c>
      <c r="F265" s="8">
        <v>1041.4000000000001</v>
      </c>
      <c r="G265" s="8">
        <v>1087.9000000000001</v>
      </c>
      <c r="H265" s="8">
        <v>1145.3</v>
      </c>
      <c r="I265" s="8">
        <v>1182</v>
      </c>
      <c r="J265" s="8">
        <v>1302.7</v>
      </c>
      <c r="K265" s="8">
        <v>1568.7</v>
      </c>
      <c r="L265" s="8">
        <v>1435.2</v>
      </c>
      <c r="M265" s="8">
        <v>1563.9</v>
      </c>
    </row>
    <row r="266" spans="1:13" x14ac:dyDescent="0.2">
      <c r="A266" s="6">
        <v>107</v>
      </c>
      <c r="B266" s="7" t="s">
        <v>349</v>
      </c>
      <c r="C266" s="6" t="s">
        <v>350</v>
      </c>
      <c r="D266" s="8">
        <v>0</v>
      </c>
      <c r="E266" s="8">
        <v>0</v>
      </c>
      <c r="F266" s="8">
        <v>0</v>
      </c>
      <c r="G266" s="8">
        <v>23.1</v>
      </c>
      <c r="H266" s="8">
        <v>21.8</v>
      </c>
      <c r="I266" s="8">
        <v>1.79</v>
      </c>
      <c r="J266" s="8">
        <v>0</v>
      </c>
      <c r="K266" s="8">
        <v>0</v>
      </c>
      <c r="L266" s="8">
        <v>0</v>
      </c>
      <c r="M266" s="8">
        <v>0</v>
      </c>
    </row>
    <row r="267" spans="1:13" x14ac:dyDescent="0.2">
      <c r="A267" s="6">
        <v>108</v>
      </c>
      <c r="B267" s="7" t="s">
        <v>352</v>
      </c>
      <c r="C267" s="6" t="s">
        <v>353</v>
      </c>
      <c r="D267" s="8">
        <v>33.5</v>
      </c>
      <c r="E267" s="8">
        <v>28.5</v>
      </c>
      <c r="F267" s="8">
        <v>22.4</v>
      </c>
      <c r="G267" s="8">
        <v>1.7000000000000001E-2</v>
      </c>
      <c r="H267" s="8">
        <v>40.6</v>
      </c>
      <c r="I267" s="8">
        <v>60.7</v>
      </c>
      <c r="J267" s="8">
        <v>60.8</v>
      </c>
      <c r="K267" s="8">
        <v>31.9</v>
      </c>
      <c r="L267" s="8">
        <v>31.4</v>
      </c>
      <c r="M267" s="8">
        <v>20.6</v>
      </c>
    </row>
    <row r="268" spans="1:13" ht="30" x14ac:dyDescent="0.2">
      <c r="A268" s="6">
        <v>109</v>
      </c>
      <c r="B268" s="7" t="s">
        <v>355</v>
      </c>
      <c r="C268" s="6" t="s">
        <v>356</v>
      </c>
      <c r="D268" s="8">
        <v>0.25900000000000001</v>
      </c>
      <c r="E268" s="8">
        <v>0.189</v>
      </c>
      <c r="F268" s="8">
        <v>9.0999999999999998E-2</v>
      </c>
      <c r="G268" s="8">
        <v>1.2999999999999999E-2</v>
      </c>
      <c r="H268" s="8">
        <v>7.5999999999999998E-2</v>
      </c>
      <c r="I268" s="8">
        <v>0</v>
      </c>
      <c r="J268" s="8">
        <v>0</v>
      </c>
      <c r="K268" s="8">
        <v>0</v>
      </c>
      <c r="L268" s="8">
        <v>30.8</v>
      </c>
      <c r="M268" s="8">
        <v>31.4</v>
      </c>
    </row>
    <row r="269" spans="1:13" x14ac:dyDescent="0.2">
      <c r="A269" s="6">
        <v>110</v>
      </c>
      <c r="B269" s="7" t="s">
        <v>358</v>
      </c>
      <c r="C269" s="6" t="s">
        <v>359</v>
      </c>
      <c r="D269" s="8">
        <v>75.400000000000006</v>
      </c>
      <c r="E269" s="8">
        <v>65.7</v>
      </c>
      <c r="F269" s="8">
        <v>91.8</v>
      </c>
      <c r="G269" s="8">
        <v>120.4</v>
      </c>
      <c r="H269" s="8">
        <v>109.8</v>
      </c>
      <c r="I269" s="8">
        <v>92.4</v>
      </c>
      <c r="J269" s="8">
        <v>151.69999999999999</v>
      </c>
      <c r="K269" s="8">
        <v>127.3</v>
      </c>
      <c r="L269" s="8">
        <v>187.8</v>
      </c>
      <c r="M269" s="8">
        <v>167.1</v>
      </c>
    </row>
    <row r="270" spans="1:13" x14ac:dyDescent="0.2">
      <c r="A270" s="6">
        <v>111</v>
      </c>
      <c r="B270" s="7" t="s">
        <v>361</v>
      </c>
      <c r="C270" s="6" t="s">
        <v>362</v>
      </c>
      <c r="D270" s="8">
        <v>288.89999999999998</v>
      </c>
      <c r="E270" s="8">
        <v>268.3</v>
      </c>
      <c r="F270" s="8">
        <v>239</v>
      </c>
      <c r="G270" s="8">
        <v>198.5</v>
      </c>
      <c r="H270" s="8">
        <v>160.80000000000001</v>
      </c>
      <c r="I270" s="8">
        <v>322.89999999999998</v>
      </c>
      <c r="J270" s="8">
        <v>455</v>
      </c>
      <c r="K270" s="8">
        <v>401.2</v>
      </c>
      <c r="L270" s="8">
        <v>332.6</v>
      </c>
      <c r="M270" s="8">
        <v>341</v>
      </c>
    </row>
    <row r="271" spans="1:13" ht="30" x14ac:dyDescent="0.2">
      <c r="A271" s="6">
        <v>112</v>
      </c>
      <c r="B271" s="7" t="s">
        <v>364</v>
      </c>
      <c r="C271" s="6" t="s">
        <v>365</v>
      </c>
      <c r="D271" s="8">
        <v>0.377</v>
      </c>
      <c r="E271" s="8">
        <v>0.114</v>
      </c>
      <c r="F271" s="8">
        <v>6.42</v>
      </c>
      <c r="G271" s="8">
        <v>6.97</v>
      </c>
      <c r="H271" s="8">
        <v>76</v>
      </c>
      <c r="I271" s="8">
        <v>69.599999999999994</v>
      </c>
      <c r="J271" s="8">
        <v>68.2</v>
      </c>
      <c r="K271" s="8">
        <v>74.099999999999994</v>
      </c>
      <c r="L271" s="8">
        <v>63.7</v>
      </c>
      <c r="M271" s="8">
        <v>49</v>
      </c>
    </row>
    <row r="272" spans="1:13" x14ac:dyDescent="0.2">
      <c r="A272" s="6">
        <v>113</v>
      </c>
      <c r="B272" s="7" t="s">
        <v>367</v>
      </c>
      <c r="C272" s="6" t="s">
        <v>368</v>
      </c>
      <c r="D272" s="8">
        <v>10.199999999999999</v>
      </c>
      <c r="E272" s="8">
        <v>10.3</v>
      </c>
      <c r="F272" s="8">
        <v>18</v>
      </c>
      <c r="G272" s="8">
        <v>16</v>
      </c>
      <c r="H272" s="8">
        <v>14.5</v>
      </c>
      <c r="I272" s="8">
        <v>14.4</v>
      </c>
      <c r="J272" s="8">
        <v>22.5</v>
      </c>
      <c r="K272" s="8">
        <v>33.700000000000003</v>
      </c>
      <c r="L272" s="8">
        <v>31.5</v>
      </c>
      <c r="M272" s="8">
        <v>26.4</v>
      </c>
    </row>
    <row r="273" spans="1:13" x14ac:dyDescent="0.2">
      <c r="A273" s="6">
        <v>114</v>
      </c>
      <c r="B273" s="7" t="s">
        <v>370</v>
      </c>
      <c r="C273" s="6" t="s">
        <v>371</v>
      </c>
      <c r="D273" s="8">
        <v>0</v>
      </c>
      <c r="E273" s="8">
        <v>463.9</v>
      </c>
      <c r="F273" s="8">
        <v>364.8</v>
      </c>
      <c r="G273" s="8">
        <v>364.9</v>
      </c>
      <c r="H273" s="8">
        <v>452.8</v>
      </c>
      <c r="I273" s="8">
        <v>431.7</v>
      </c>
      <c r="J273" s="8">
        <v>412.3</v>
      </c>
      <c r="K273" s="8">
        <v>441.1</v>
      </c>
      <c r="L273" s="8">
        <v>397.1</v>
      </c>
      <c r="M273" s="8">
        <v>366</v>
      </c>
    </row>
    <row r="274" spans="1:13" x14ac:dyDescent="0.2">
      <c r="A274" s="6">
        <v>115</v>
      </c>
      <c r="B274" s="7" t="s">
        <v>373</v>
      </c>
      <c r="C274" s="6" t="s">
        <v>374</v>
      </c>
      <c r="D274" s="8">
        <v>0</v>
      </c>
      <c r="E274" s="8">
        <v>0</v>
      </c>
      <c r="F274" s="8">
        <v>0</v>
      </c>
      <c r="G274" s="8">
        <v>0</v>
      </c>
      <c r="H274" s="8">
        <v>0</v>
      </c>
      <c r="I274" s="8">
        <v>0</v>
      </c>
      <c r="J274" s="8">
        <v>0</v>
      </c>
      <c r="K274" s="8">
        <v>0</v>
      </c>
      <c r="L274" s="8">
        <v>0</v>
      </c>
      <c r="M274" s="8">
        <v>0</v>
      </c>
    </row>
    <row r="275" spans="1:13" ht="30" x14ac:dyDescent="0.2">
      <c r="A275" s="6">
        <v>116</v>
      </c>
      <c r="B275" s="7" t="s">
        <v>376</v>
      </c>
      <c r="C275" s="6" t="s">
        <v>377</v>
      </c>
      <c r="D275" s="8">
        <v>0</v>
      </c>
      <c r="E275" s="8">
        <v>0</v>
      </c>
      <c r="F275" s="8">
        <v>0</v>
      </c>
      <c r="G275" s="8">
        <v>0</v>
      </c>
      <c r="H275" s="8">
        <v>0</v>
      </c>
      <c r="I275" s="8">
        <v>0.17199999999999999</v>
      </c>
      <c r="J275" s="8">
        <v>18.399999999999999</v>
      </c>
      <c r="K275" s="8">
        <v>33.1</v>
      </c>
      <c r="L275" s="8">
        <v>40.299999999999997</v>
      </c>
      <c r="M275" s="8">
        <v>47.7</v>
      </c>
    </row>
    <row r="276" spans="1:13" x14ac:dyDescent="0.2">
      <c r="A276" s="6">
        <v>117</v>
      </c>
      <c r="B276" s="7" t="s">
        <v>379</v>
      </c>
      <c r="C276" s="6" t="s">
        <v>380</v>
      </c>
      <c r="D276" s="8">
        <v>5.85</v>
      </c>
      <c r="E276" s="8">
        <v>5.58</v>
      </c>
      <c r="F276" s="8">
        <v>5.09</v>
      </c>
      <c r="G276" s="8">
        <v>0.245</v>
      </c>
      <c r="H276" s="8">
        <v>8.14</v>
      </c>
      <c r="I276" s="8">
        <v>5.78</v>
      </c>
      <c r="J276" s="8">
        <v>2.3E-2</v>
      </c>
      <c r="K276" s="8">
        <v>1.4999999999999999E-2</v>
      </c>
      <c r="L276" s="8">
        <v>6.0000000000000001E-3</v>
      </c>
      <c r="M276" s="8">
        <v>0</v>
      </c>
    </row>
    <row r="277" spans="1:13" x14ac:dyDescent="0.2">
      <c r="A277" s="6">
        <v>118</v>
      </c>
      <c r="B277" s="7" t="s">
        <v>382</v>
      </c>
      <c r="C277" s="6" t="s">
        <v>383</v>
      </c>
      <c r="D277" s="8">
        <v>90.8</v>
      </c>
      <c r="E277" s="8">
        <v>114.6</v>
      </c>
      <c r="F277" s="8">
        <v>159.80000000000001</v>
      </c>
      <c r="G277" s="8">
        <v>215.6</v>
      </c>
      <c r="H277" s="8">
        <v>177.5</v>
      </c>
      <c r="I277" s="8">
        <v>121.3</v>
      </c>
      <c r="J277" s="8">
        <v>103</v>
      </c>
      <c r="K277" s="8">
        <v>245.4</v>
      </c>
      <c r="L277" s="8">
        <v>196.7</v>
      </c>
      <c r="M277" s="8">
        <v>162</v>
      </c>
    </row>
    <row r="278" spans="1:13" x14ac:dyDescent="0.2">
      <c r="A278" s="6">
        <v>119</v>
      </c>
      <c r="B278" s="7" t="s">
        <v>385</v>
      </c>
      <c r="C278" s="6" t="s">
        <v>386</v>
      </c>
      <c r="D278" s="8">
        <v>31.6</v>
      </c>
      <c r="E278" s="8">
        <v>31.4</v>
      </c>
      <c r="F278" s="8">
        <v>31.3</v>
      </c>
      <c r="G278" s="8">
        <v>31.2</v>
      </c>
      <c r="H278" s="8">
        <v>31.1</v>
      </c>
      <c r="I278" s="8">
        <v>33.4</v>
      </c>
      <c r="J278" s="8">
        <v>76.3</v>
      </c>
      <c r="K278" s="8">
        <v>76.099999999999994</v>
      </c>
      <c r="L278" s="8">
        <v>28.5</v>
      </c>
      <c r="M278" s="8">
        <v>22.8</v>
      </c>
    </row>
    <row r="279" spans="1:13" x14ac:dyDescent="0.2">
      <c r="A279" s="6">
        <v>120</v>
      </c>
      <c r="B279" s="7" t="s">
        <v>388</v>
      </c>
      <c r="C279" s="6" t="s">
        <v>389</v>
      </c>
      <c r="D279" s="8">
        <v>0.97</v>
      </c>
      <c r="E279" s="8">
        <v>0</v>
      </c>
      <c r="F279" s="8">
        <v>0</v>
      </c>
      <c r="G279" s="8">
        <v>0</v>
      </c>
      <c r="H279" s="8">
        <v>0</v>
      </c>
      <c r="I279" s="8">
        <v>0</v>
      </c>
      <c r="J279" s="8">
        <v>0</v>
      </c>
      <c r="K279" s="8">
        <v>0</v>
      </c>
      <c r="L279" s="8">
        <v>0</v>
      </c>
      <c r="M279" s="8">
        <v>0</v>
      </c>
    </row>
    <row r="280" spans="1:13" ht="30" x14ac:dyDescent="0.2">
      <c r="A280" s="6">
        <v>121</v>
      </c>
      <c r="B280" s="7" t="s">
        <v>391</v>
      </c>
      <c r="C280" s="6" t="s">
        <v>392</v>
      </c>
      <c r="D280" s="8">
        <v>3.35</v>
      </c>
      <c r="E280" s="8">
        <v>2.4300000000000002</v>
      </c>
      <c r="F280" s="8">
        <v>1.26</v>
      </c>
      <c r="G280" s="8">
        <v>9.7000000000000003E-2</v>
      </c>
      <c r="H280" s="8">
        <v>0</v>
      </c>
      <c r="I280" s="8">
        <v>0</v>
      </c>
      <c r="J280" s="8">
        <v>28.8</v>
      </c>
      <c r="K280" s="8">
        <v>28.1</v>
      </c>
      <c r="L280" s="8">
        <v>27.4</v>
      </c>
      <c r="M280" s="8">
        <v>60.6</v>
      </c>
    </row>
    <row r="281" spans="1:13" x14ac:dyDescent="0.2">
      <c r="A281" s="6">
        <v>122</v>
      </c>
      <c r="B281" s="7" t="s">
        <v>394</v>
      </c>
      <c r="C281" s="6" t="s">
        <v>395</v>
      </c>
      <c r="D281" s="8">
        <v>0.221</v>
      </c>
      <c r="E281" s="8">
        <v>0</v>
      </c>
      <c r="F281" s="8">
        <v>0</v>
      </c>
      <c r="G281" s="8">
        <v>0</v>
      </c>
      <c r="H281" s="8">
        <v>7.2999999999999995E-2</v>
      </c>
      <c r="I281" s="8">
        <v>0</v>
      </c>
      <c r="J281" s="8">
        <v>0</v>
      </c>
      <c r="K281" s="8">
        <v>0</v>
      </c>
      <c r="L281" s="8">
        <v>0</v>
      </c>
      <c r="M281" s="8">
        <v>0</v>
      </c>
    </row>
    <row r="282" spans="1:13" x14ac:dyDescent="0.2">
      <c r="A282" s="6">
        <v>123</v>
      </c>
      <c r="B282" s="7" t="s">
        <v>397</v>
      </c>
      <c r="C282" s="6" t="s">
        <v>398</v>
      </c>
      <c r="D282" s="8">
        <v>270.8</v>
      </c>
      <c r="E282" s="8">
        <v>276.7</v>
      </c>
      <c r="F282" s="8">
        <v>497.9</v>
      </c>
      <c r="G282" s="8">
        <v>458.4</v>
      </c>
      <c r="H282" s="8">
        <v>321.3</v>
      </c>
      <c r="I282" s="8">
        <v>291.3</v>
      </c>
      <c r="J282" s="8">
        <v>292.39999999999998</v>
      </c>
      <c r="K282" s="8">
        <v>293.7</v>
      </c>
      <c r="L282" s="8">
        <v>295.10000000000002</v>
      </c>
      <c r="M282" s="8">
        <v>296.7</v>
      </c>
    </row>
    <row r="283" spans="1:13" x14ac:dyDescent="0.2">
      <c r="A283" s="6">
        <v>124</v>
      </c>
      <c r="B283" s="7" t="s">
        <v>400</v>
      </c>
      <c r="C283" s="6" t="s">
        <v>401</v>
      </c>
      <c r="D283" s="8">
        <v>0</v>
      </c>
      <c r="E283" s="8">
        <v>0</v>
      </c>
      <c r="F283" s="8">
        <v>0</v>
      </c>
      <c r="G283" s="8">
        <v>0</v>
      </c>
      <c r="H283" s="8">
        <v>0</v>
      </c>
      <c r="I283" s="8">
        <v>0</v>
      </c>
      <c r="J283" s="8">
        <v>0</v>
      </c>
      <c r="K283" s="8">
        <v>0</v>
      </c>
      <c r="L283" s="8">
        <v>0</v>
      </c>
      <c r="M283" s="8">
        <v>0</v>
      </c>
    </row>
    <row r="284" spans="1:13" ht="30" x14ac:dyDescent="0.2">
      <c r="A284" s="6">
        <v>125</v>
      </c>
      <c r="B284" s="7" t="s">
        <v>403</v>
      </c>
      <c r="C284" s="6" t="s">
        <v>404</v>
      </c>
      <c r="D284" s="8">
        <v>0</v>
      </c>
      <c r="E284" s="8">
        <v>0</v>
      </c>
      <c r="F284" s="8">
        <v>0</v>
      </c>
      <c r="G284" s="8">
        <v>0</v>
      </c>
      <c r="H284" s="8">
        <v>0</v>
      </c>
      <c r="I284" s="8">
        <v>0</v>
      </c>
      <c r="J284" s="8">
        <v>1.29</v>
      </c>
      <c r="K284" s="8">
        <v>0.752</v>
      </c>
      <c r="L284" s="8">
        <v>0.191</v>
      </c>
      <c r="M284" s="8">
        <v>0</v>
      </c>
    </row>
    <row r="285" spans="1:13" x14ac:dyDescent="0.2">
      <c r="A285" s="6">
        <v>126</v>
      </c>
      <c r="B285" s="7" t="s">
        <v>406</v>
      </c>
      <c r="C285" s="6" t="s">
        <v>407</v>
      </c>
      <c r="D285" s="8">
        <v>0</v>
      </c>
      <c r="E285" s="8">
        <v>0</v>
      </c>
      <c r="F285" s="8">
        <v>0</v>
      </c>
      <c r="G285" s="8">
        <v>0</v>
      </c>
      <c r="H285" s="8">
        <v>0</v>
      </c>
      <c r="I285" s="8">
        <v>16</v>
      </c>
      <c r="J285" s="8">
        <v>12</v>
      </c>
      <c r="K285" s="8">
        <v>7.94</v>
      </c>
      <c r="L285" s="8">
        <v>7.54</v>
      </c>
      <c r="M285" s="8">
        <v>1.41</v>
      </c>
    </row>
    <row r="286" spans="1:13" x14ac:dyDescent="0.2">
      <c r="A286" s="6">
        <v>127</v>
      </c>
      <c r="B286" s="7" t="s">
        <v>409</v>
      </c>
      <c r="C286" s="6" t="s">
        <v>410</v>
      </c>
      <c r="D286" s="8">
        <v>324</v>
      </c>
      <c r="E286" s="8">
        <v>336.6</v>
      </c>
      <c r="F286" s="8">
        <v>357.9</v>
      </c>
      <c r="G286" s="8">
        <v>489.3</v>
      </c>
      <c r="H286" s="8">
        <v>446.5</v>
      </c>
      <c r="I286" s="8">
        <v>552.4</v>
      </c>
      <c r="J286" s="8">
        <v>587.5</v>
      </c>
      <c r="K286" s="8">
        <v>579.20000000000005</v>
      </c>
      <c r="L286" s="8">
        <v>536.9</v>
      </c>
      <c r="M286" s="8">
        <v>528.29999999999995</v>
      </c>
    </row>
    <row r="287" spans="1:13" x14ac:dyDescent="0.2">
      <c r="A287" s="6">
        <v>128</v>
      </c>
      <c r="B287" s="7" t="s">
        <v>412</v>
      </c>
      <c r="C287" s="6" t="s">
        <v>413</v>
      </c>
      <c r="D287" s="8">
        <v>0</v>
      </c>
      <c r="E287" s="8">
        <v>0</v>
      </c>
      <c r="F287" s="8">
        <v>0</v>
      </c>
      <c r="G287" s="8">
        <v>0</v>
      </c>
      <c r="H287" s="8">
        <v>0</v>
      </c>
      <c r="I287" s="8">
        <v>0</v>
      </c>
      <c r="J287" s="8">
        <v>0</v>
      </c>
      <c r="K287" s="8">
        <v>74</v>
      </c>
      <c r="L287" s="8">
        <v>87.7</v>
      </c>
      <c r="M287" s="8">
        <v>74.8</v>
      </c>
    </row>
    <row r="288" spans="1:13" x14ac:dyDescent="0.2">
      <c r="A288" s="6">
        <v>129</v>
      </c>
      <c r="B288" s="7" t="s">
        <v>415</v>
      </c>
      <c r="C288" s="6" t="s">
        <v>416</v>
      </c>
      <c r="D288" s="8">
        <v>35.299999999999997</v>
      </c>
      <c r="E288" s="8">
        <v>38.6</v>
      </c>
      <c r="F288" s="8">
        <v>38.5</v>
      </c>
      <c r="G288" s="8">
        <v>34.9</v>
      </c>
      <c r="H288" s="8">
        <v>41.9</v>
      </c>
      <c r="I288" s="8">
        <v>40.6</v>
      </c>
      <c r="J288" s="8">
        <v>31.1</v>
      </c>
      <c r="K288" s="8">
        <v>28.1</v>
      </c>
      <c r="L288" s="8">
        <v>31</v>
      </c>
      <c r="M288" s="8">
        <v>27.5</v>
      </c>
    </row>
    <row r="289" spans="1:13" x14ac:dyDescent="0.2">
      <c r="A289" s="6">
        <v>130</v>
      </c>
      <c r="B289" s="7" t="s">
        <v>418</v>
      </c>
      <c r="C289" s="6" t="s">
        <v>419</v>
      </c>
      <c r="D289" s="8">
        <v>0</v>
      </c>
      <c r="E289" s="8">
        <v>0</v>
      </c>
      <c r="F289" s="8">
        <v>0</v>
      </c>
      <c r="G289" s="8">
        <v>0</v>
      </c>
      <c r="H289" s="8">
        <v>0</v>
      </c>
      <c r="I289" s="8">
        <v>0.26200000000000001</v>
      </c>
      <c r="J289" s="8">
        <v>0</v>
      </c>
      <c r="K289" s="8">
        <v>0</v>
      </c>
      <c r="L289" s="8">
        <v>0</v>
      </c>
      <c r="M289" s="8">
        <v>0</v>
      </c>
    </row>
    <row r="290" spans="1:13" x14ac:dyDescent="0.2">
      <c r="A290" s="6">
        <v>131</v>
      </c>
      <c r="B290" s="7" t="s">
        <v>421</v>
      </c>
      <c r="C290" s="6" t="s">
        <v>422</v>
      </c>
      <c r="D290" s="8">
        <v>2</v>
      </c>
      <c r="E290" s="8">
        <v>0</v>
      </c>
      <c r="F290" s="8">
        <v>2.5099999999999998</v>
      </c>
      <c r="G290" s="8">
        <v>2.52</v>
      </c>
      <c r="H290" s="8">
        <v>0.77700000000000002</v>
      </c>
      <c r="I290" s="8">
        <v>0</v>
      </c>
      <c r="J290" s="8">
        <v>0</v>
      </c>
      <c r="K290" s="8">
        <v>0</v>
      </c>
      <c r="L290" s="8">
        <v>0</v>
      </c>
      <c r="M290" s="8">
        <v>8.67</v>
      </c>
    </row>
    <row r="291" spans="1:13" ht="30" x14ac:dyDescent="0.2">
      <c r="A291" s="6">
        <v>132</v>
      </c>
      <c r="B291" s="7" t="s">
        <v>424</v>
      </c>
      <c r="C291" s="6" t="s">
        <v>425</v>
      </c>
      <c r="D291" s="8">
        <v>0</v>
      </c>
      <c r="E291" s="8">
        <v>0</v>
      </c>
      <c r="F291" s="8">
        <v>0</v>
      </c>
      <c r="G291" s="8">
        <v>0</v>
      </c>
      <c r="H291" s="8">
        <v>0</v>
      </c>
      <c r="I291" s="8">
        <v>0</v>
      </c>
      <c r="J291" s="8">
        <v>0</v>
      </c>
      <c r="K291" s="8">
        <v>1.3</v>
      </c>
      <c r="L291" s="8">
        <v>1.1599999999999999</v>
      </c>
      <c r="M291" s="8">
        <v>1.01</v>
      </c>
    </row>
    <row r="292" spans="1:13" ht="30" x14ac:dyDescent="0.2">
      <c r="A292" s="6">
        <v>133</v>
      </c>
      <c r="B292" s="7" t="s">
        <v>427</v>
      </c>
      <c r="C292" s="6" t="s">
        <v>428</v>
      </c>
      <c r="D292" s="8">
        <v>291.5</v>
      </c>
      <c r="E292" s="8">
        <v>292.5</v>
      </c>
      <c r="F292" s="8">
        <v>240.5</v>
      </c>
      <c r="G292" s="8">
        <v>213</v>
      </c>
      <c r="H292" s="8">
        <v>210.5</v>
      </c>
      <c r="I292" s="8">
        <v>207.4</v>
      </c>
      <c r="J292" s="8">
        <v>207.3</v>
      </c>
      <c r="K292" s="8">
        <v>197.9</v>
      </c>
      <c r="L292" s="8">
        <v>187</v>
      </c>
      <c r="M292" s="8">
        <v>147.1</v>
      </c>
    </row>
    <row r="293" spans="1:13" ht="30" x14ac:dyDescent="0.2">
      <c r="A293" s="6">
        <v>134</v>
      </c>
      <c r="B293" s="7" t="s">
        <v>430</v>
      </c>
      <c r="C293" s="6" t="s">
        <v>431</v>
      </c>
      <c r="D293" s="8">
        <v>4.3899999999999997</v>
      </c>
      <c r="E293" s="8">
        <v>4.17</v>
      </c>
      <c r="F293" s="8">
        <v>3.95</v>
      </c>
      <c r="G293" s="8">
        <v>3.73</v>
      </c>
      <c r="H293" s="8">
        <v>3.51</v>
      </c>
      <c r="I293" s="8">
        <v>0</v>
      </c>
      <c r="J293" s="8">
        <v>0</v>
      </c>
      <c r="K293" s="8">
        <v>0</v>
      </c>
      <c r="L293" s="8">
        <v>0</v>
      </c>
      <c r="M293" s="8">
        <v>0</v>
      </c>
    </row>
    <row r="294" spans="1:13" x14ac:dyDescent="0.2">
      <c r="A294" s="6">
        <v>135</v>
      </c>
      <c r="B294" s="7" t="s">
        <v>433</v>
      </c>
      <c r="C294" s="6" t="s">
        <v>434</v>
      </c>
      <c r="D294" s="8">
        <v>3.02</v>
      </c>
      <c r="E294" s="8">
        <v>1.73</v>
      </c>
      <c r="F294" s="8">
        <v>1.1200000000000001</v>
      </c>
      <c r="G294" s="8">
        <v>0.66400000000000003</v>
      </c>
      <c r="H294" s="8">
        <v>0</v>
      </c>
      <c r="I294" s="8">
        <v>0</v>
      </c>
      <c r="J294" s="8">
        <v>0</v>
      </c>
      <c r="K294" s="8">
        <v>0</v>
      </c>
      <c r="L294" s="8">
        <v>0</v>
      </c>
      <c r="M294" s="8">
        <v>0</v>
      </c>
    </row>
    <row r="295" spans="1:13" x14ac:dyDescent="0.2">
      <c r="A295" s="6">
        <v>136</v>
      </c>
      <c r="B295" s="7" t="s">
        <v>436</v>
      </c>
      <c r="C295" s="6" t="s">
        <v>437</v>
      </c>
      <c r="D295" s="8">
        <v>196.5</v>
      </c>
      <c r="E295" s="8">
        <v>197</v>
      </c>
      <c r="F295" s="8">
        <v>197.5</v>
      </c>
      <c r="G295" s="8">
        <v>197.9</v>
      </c>
      <c r="H295" s="8">
        <v>198.4</v>
      </c>
      <c r="I295" s="8">
        <v>198.9</v>
      </c>
      <c r="J295" s="8">
        <v>0</v>
      </c>
      <c r="K295" s="8">
        <v>0</v>
      </c>
      <c r="L295" s="8">
        <v>0</v>
      </c>
      <c r="M295" s="8">
        <v>0</v>
      </c>
    </row>
    <row r="296" spans="1:13" x14ac:dyDescent="0.2">
      <c r="A296" s="6">
        <v>137</v>
      </c>
      <c r="B296" s="7" t="s">
        <v>439</v>
      </c>
      <c r="C296" s="6" t="s">
        <v>440</v>
      </c>
      <c r="D296" s="8">
        <v>115.5</v>
      </c>
      <c r="E296" s="8">
        <v>119.1</v>
      </c>
      <c r="F296" s="8">
        <v>71.8</v>
      </c>
      <c r="G296" s="8">
        <v>65.2</v>
      </c>
      <c r="H296" s="8">
        <v>101.8</v>
      </c>
      <c r="I296" s="8">
        <v>100</v>
      </c>
      <c r="J296" s="8">
        <v>25.6</v>
      </c>
      <c r="K296" s="8">
        <v>41.6</v>
      </c>
      <c r="L296" s="8">
        <v>32.700000000000003</v>
      </c>
      <c r="M296" s="8">
        <v>66.400000000000006</v>
      </c>
    </row>
    <row r="297" spans="1:13" x14ac:dyDescent="0.2">
      <c r="A297" s="6">
        <v>138</v>
      </c>
      <c r="B297" s="7" t="s">
        <v>442</v>
      </c>
      <c r="C297" s="6" t="s">
        <v>443</v>
      </c>
      <c r="D297" s="8">
        <v>1.43</v>
      </c>
      <c r="E297" s="8">
        <v>0.92700000000000005</v>
      </c>
      <c r="F297" s="8">
        <v>0.96799999999999997</v>
      </c>
      <c r="G297" s="8">
        <v>0.307</v>
      </c>
      <c r="H297" s="8">
        <v>3.57</v>
      </c>
      <c r="I297" s="8">
        <v>25.1</v>
      </c>
      <c r="J297" s="8">
        <v>26</v>
      </c>
      <c r="K297" s="8">
        <v>19.3</v>
      </c>
      <c r="L297" s="8">
        <v>0.22900000000000001</v>
      </c>
      <c r="M297" s="8">
        <v>0</v>
      </c>
    </row>
    <row r="298" spans="1:13" x14ac:dyDescent="0.2">
      <c r="A298" s="6">
        <v>139</v>
      </c>
      <c r="B298" s="7" t="s">
        <v>445</v>
      </c>
      <c r="C298" s="6" t="s">
        <v>446</v>
      </c>
      <c r="D298" s="8">
        <v>0.91400000000000003</v>
      </c>
      <c r="E298" s="8">
        <v>0.36899999999999999</v>
      </c>
      <c r="F298" s="8">
        <v>0</v>
      </c>
      <c r="G298" s="8">
        <v>0</v>
      </c>
      <c r="H298" s="8">
        <v>0</v>
      </c>
      <c r="I298" s="8">
        <v>0.45300000000000001</v>
      </c>
      <c r="J298" s="8">
        <v>0</v>
      </c>
      <c r="K298" s="8">
        <v>0</v>
      </c>
      <c r="L298" s="8">
        <v>15.5</v>
      </c>
      <c r="M298" s="8">
        <v>8.5500000000000007</v>
      </c>
    </row>
    <row r="299" spans="1:13" ht="30" x14ac:dyDescent="0.2">
      <c r="A299" s="6">
        <v>140</v>
      </c>
      <c r="B299" s="7" t="s">
        <v>448</v>
      </c>
      <c r="C299" s="6" t="s">
        <v>449</v>
      </c>
      <c r="D299" s="8">
        <v>27.4</v>
      </c>
      <c r="E299" s="8">
        <v>28.4</v>
      </c>
      <c r="F299" s="8">
        <v>13.2</v>
      </c>
      <c r="G299" s="8">
        <v>5.69</v>
      </c>
      <c r="H299" s="8">
        <v>0</v>
      </c>
      <c r="I299" s="8">
        <v>21.9</v>
      </c>
      <c r="J299" s="8">
        <v>13.9</v>
      </c>
      <c r="K299" s="8">
        <v>5.94</v>
      </c>
      <c r="L299" s="8">
        <v>0</v>
      </c>
      <c r="M299" s="8">
        <v>0</v>
      </c>
    </row>
    <row r="300" spans="1:13" x14ac:dyDescent="0.2">
      <c r="A300" s="6">
        <v>141</v>
      </c>
      <c r="B300" s="7" t="s">
        <v>451</v>
      </c>
      <c r="C300" s="6" t="s">
        <v>452</v>
      </c>
      <c r="D300" s="8">
        <v>72.900000000000006</v>
      </c>
      <c r="E300" s="8">
        <v>69.2</v>
      </c>
      <c r="F300" s="8">
        <v>62.9</v>
      </c>
      <c r="G300" s="8">
        <v>59</v>
      </c>
      <c r="H300" s="8">
        <v>55.8</v>
      </c>
      <c r="I300" s="8">
        <v>52</v>
      </c>
      <c r="J300" s="8">
        <v>63.2</v>
      </c>
      <c r="K300" s="8">
        <v>128.6</v>
      </c>
      <c r="L300" s="8">
        <v>117.2</v>
      </c>
      <c r="M300" s="8">
        <v>103</v>
      </c>
    </row>
    <row r="301" spans="1:13" x14ac:dyDescent="0.2">
      <c r="A301" s="6">
        <v>142</v>
      </c>
      <c r="B301" s="7" t="s">
        <v>454</v>
      </c>
      <c r="C301" s="6" t="s">
        <v>455</v>
      </c>
      <c r="D301" s="8">
        <v>7</v>
      </c>
      <c r="E301" s="8">
        <v>19</v>
      </c>
      <c r="F301" s="8">
        <v>6.5</v>
      </c>
      <c r="G301" s="8">
        <v>0</v>
      </c>
      <c r="H301" s="8">
        <v>0</v>
      </c>
      <c r="I301" s="8">
        <v>0</v>
      </c>
      <c r="J301" s="8">
        <v>59.7</v>
      </c>
      <c r="K301" s="8">
        <v>32.700000000000003</v>
      </c>
      <c r="L301" s="8">
        <v>12.7</v>
      </c>
      <c r="M301" s="8">
        <v>75.8</v>
      </c>
    </row>
    <row r="302" spans="1:13" x14ac:dyDescent="0.2">
      <c r="A302" s="6">
        <v>143</v>
      </c>
      <c r="B302" s="7" t="s">
        <v>457</v>
      </c>
      <c r="C302" s="6" t="s">
        <v>458</v>
      </c>
      <c r="D302" s="8">
        <v>157.5</v>
      </c>
      <c r="E302" s="8">
        <v>62</v>
      </c>
      <c r="F302" s="8">
        <v>28.7</v>
      </c>
      <c r="G302" s="8">
        <v>35.6</v>
      </c>
      <c r="H302" s="8">
        <v>0</v>
      </c>
      <c r="I302" s="8">
        <v>0</v>
      </c>
      <c r="J302" s="8">
        <v>22</v>
      </c>
      <c r="K302" s="8">
        <v>0</v>
      </c>
      <c r="L302" s="8">
        <v>0</v>
      </c>
      <c r="M302" s="8">
        <v>67.400000000000006</v>
      </c>
    </row>
    <row r="303" spans="1:13" x14ac:dyDescent="0.2">
      <c r="A303" s="6">
        <v>144</v>
      </c>
      <c r="B303" s="7" t="s">
        <v>460</v>
      </c>
      <c r="C303" s="6" t="s">
        <v>461</v>
      </c>
      <c r="D303" s="8">
        <v>0</v>
      </c>
      <c r="E303" s="8">
        <v>0</v>
      </c>
      <c r="F303" s="8">
        <v>0</v>
      </c>
      <c r="G303" s="8">
        <v>0</v>
      </c>
      <c r="H303" s="8">
        <v>0</v>
      </c>
      <c r="I303" s="8">
        <v>0</v>
      </c>
      <c r="J303" s="8">
        <v>0</v>
      </c>
      <c r="K303" s="8">
        <v>0</v>
      </c>
      <c r="L303" s="8">
        <v>0</v>
      </c>
      <c r="M303" s="8">
        <v>0</v>
      </c>
    </row>
    <row r="304" spans="1:13" x14ac:dyDescent="0.2">
      <c r="A304" s="6">
        <v>145</v>
      </c>
      <c r="B304" s="7" t="s">
        <v>463</v>
      </c>
      <c r="C304" s="6" t="s">
        <v>464</v>
      </c>
      <c r="D304" s="8">
        <v>4014.9</v>
      </c>
      <c r="E304" s="8">
        <v>3843.4</v>
      </c>
      <c r="F304" s="8">
        <v>3810</v>
      </c>
      <c r="G304" s="8">
        <v>12334</v>
      </c>
      <c r="H304" s="8">
        <v>12460</v>
      </c>
      <c r="I304" s="8">
        <v>12239</v>
      </c>
      <c r="J304" s="8">
        <v>4201</v>
      </c>
      <c r="K304" s="8">
        <v>4118</v>
      </c>
      <c r="L304" s="8">
        <v>4057</v>
      </c>
      <c r="M304" s="8">
        <v>4333</v>
      </c>
    </row>
    <row r="305" spans="1:13" x14ac:dyDescent="0.2">
      <c r="A305" s="6">
        <v>146</v>
      </c>
      <c r="B305" s="7" t="s">
        <v>466</v>
      </c>
      <c r="C305" s="6" t="s">
        <v>467</v>
      </c>
      <c r="D305" s="8">
        <v>0</v>
      </c>
      <c r="E305" s="8">
        <v>0</v>
      </c>
      <c r="F305" s="8">
        <v>0</v>
      </c>
      <c r="G305" s="8">
        <v>0</v>
      </c>
      <c r="H305" s="8">
        <v>0</v>
      </c>
      <c r="I305" s="8">
        <v>0</v>
      </c>
      <c r="J305" s="8">
        <v>0</v>
      </c>
      <c r="K305" s="8">
        <v>0</v>
      </c>
      <c r="L305" s="8">
        <v>0</v>
      </c>
      <c r="M305" s="8">
        <v>0</v>
      </c>
    </row>
    <row r="306" spans="1:13" x14ac:dyDescent="0.2">
      <c r="A306" s="6">
        <v>147</v>
      </c>
      <c r="B306" s="7" t="s">
        <v>469</v>
      </c>
      <c r="C306" s="6" t="s">
        <v>470</v>
      </c>
      <c r="D306" s="8">
        <v>0</v>
      </c>
      <c r="E306" s="8">
        <v>0</v>
      </c>
      <c r="F306" s="8">
        <v>0</v>
      </c>
      <c r="G306" s="8">
        <v>0</v>
      </c>
      <c r="H306" s="8">
        <v>0</v>
      </c>
      <c r="I306" s="8">
        <v>0</v>
      </c>
      <c r="J306" s="8">
        <v>3.95</v>
      </c>
      <c r="K306" s="8">
        <v>6.89</v>
      </c>
      <c r="L306" s="8">
        <v>6.82</v>
      </c>
      <c r="M306" s="8">
        <v>6.38</v>
      </c>
    </row>
    <row r="307" spans="1:13" x14ac:dyDescent="0.2">
      <c r="A307" s="6">
        <v>148</v>
      </c>
      <c r="B307" s="7" t="s">
        <v>472</v>
      </c>
      <c r="C307" s="6" t="s">
        <v>473</v>
      </c>
      <c r="D307" s="8">
        <v>619.79999999999995</v>
      </c>
      <c r="E307" s="8">
        <v>665.6</v>
      </c>
      <c r="F307" s="8">
        <v>978.8</v>
      </c>
      <c r="G307" s="8">
        <v>891</v>
      </c>
      <c r="H307" s="8">
        <v>765.8</v>
      </c>
      <c r="I307" s="8">
        <v>781.5</v>
      </c>
      <c r="J307" s="8">
        <v>817.7</v>
      </c>
      <c r="K307" s="8">
        <v>841.9</v>
      </c>
      <c r="L307" s="8">
        <v>927.2</v>
      </c>
      <c r="M307" s="8">
        <v>915.4</v>
      </c>
    </row>
    <row r="308" spans="1:13" ht="30" x14ac:dyDescent="0.2">
      <c r="A308" s="6">
        <v>149</v>
      </c>
      <c r="B308" s="7" t="s">
        <v>475</v>
      </c>
      <c r="C308" s="6" t="s">
        <v>476</v>
      </c>
      <c r="D308" s="8">
        <v>3.5000000000000003E-2</v>
      </c>
      <c r="E308" s="8">
        <v>2.09</v>
      </c>
      <c r="F308" s="8">
        <v>1.42</v>
      </c>
      <c r="G308" s="8">
        <v>0.72099999999999997</v>
      </c>
      <c r="H308" s="8">
        <v>0</v>
      </c>
      <c r="I308" s="8">
        <v>0</v>
      </c>
      <c r="J308" s="8">
        <v>0</v>
      </c>
      <c r="K308" s="8">
        <v>0</v>
      </c>
      <c r="L308" s="8">
        <v>0</v>
      </c>
      <c r="M308" s="8">
        <v>0</v>
      </c>
    </row>
    <row r="309" spans="1:13" ht="30" x14ac:dyDescent="0.2">
      <c r="A309" s="6">
        <v>150</v>
      </c>
      <c r="B309" s="7" t="s">
        <v>478</v>
      </c>
      <c r="C309" s="6" t="s">
        <v>479</v>
      </c>
      <c r="D309" s="8">
        <v>0</v>
      </c>
      <c r="E309" s="8">
        <v>0</v>
      </c>
      <c r="F309" s="8">
        <v>0</v>
      </c>
      <c r="G309" s="8">
        <v>0</v>
      </c>
      <c r="H309" s="8">
        <v>0</v>
      </c>
      <c r="I309" s="8">
        <v>0</v>
      </c>
      <c r="J309" s="8">
        <v>0</v>
      </c>
      <c r="K309" s="8">
        <v>0</v>
      </c>
      <c r="L309" s="8">
        <v>0</v>
      </c>
      <c r="M309" s="8">
        <v>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57"/>
  <sheetViews>
    <sheetView zoomScaleNormal="100" workbookViewId="0"/>
  </sheetViews>
  <sheetFormatPr baseColWidth="10" defaultColWidth="8.6640625" defaultRowHeight="15" customHeight="1" x14ac:dyDescent="0.2"/>
  <cols>
    <col min="1" max="1" width="3" customWidth="1"/>
    <col min="2" max="2" width="32" customWidth="1"/>
    <col min="3" max="3" width="110" customWidth="1"/>
  </cols>
  <sheetData>
    <row r="2" spans="2:3" ht="21" x14ac:dyDescent="0.25">
      <c r="B2" s="1" t="s">
        <v>1117</v>
      </c>
    </row>
    <row r="4" spans="2:3" x14ac:dyDescent="0.2">
      <c r="B4" s="14" t="s">
        <v>1118</v>
      </c>
      <c r="C4" s="7" t="s">
        <v>1119</v>
      </c>
    </row>
    <row r="5" spans="2:3" x14ac:dyDescent="0.2">
      <c r="B5" s="14" t="s">
        <v>1120</v>
      </c>
      <c r="C5" s="7" t="s">
        <v>1121</v>
      </c>
    </row>
    <row r="6" spans="2:3" x14ac:dyDescent="0.2">
      <c r="B6" s="14" t="s">
        <v>1122</v>
      </c>
      <c r="C6" s="7" t="s">
        <v>1123</v>
      </c>
    </row>
    <row r="7" spans="2:3" x14ac:dyDescent="0.2">
      <c r="B7" s="14" t="s">
        <v>1124</v>
      </c>
      <c r="C7" s="7" t="s">
        <v>1125</v>
      </c>
    </row>
    <row r="8" spans="2:3" x14ac:dyDescent="0.2">
      <c r="B8" s="14" t="s">
        <v>1126</v>
      </c>
      <c r="C8" s="7" t="s">
        <v>1127</v>
      </c>
    </row>
    <row r="9" spans="2:3" x14ac:dyDescent="0.2">
      <c r="B9" s="14" t="s">
        <v>1128</v>
      </c>
      <c r="C9" s="7" t="s">
        <v>1129</v>
      </c>
    </row>
    <row r="10" spans="2:3" x14ac:dyDescent="0.2">
      <c r="B10" s="14" t="s">
        <v>1130</v>
      </c>
      <c r="C10" s="7" t="s">
        <v>1131</v>
      </c>
    </row>
    <row r="11" spans="2:3" x14ac:dyDescent="0.2">
      <c r="B11" s="14" t="s">
        <v>1132</v>
      </c>
      <c r="C11" s="7" t="s">
        <v>1133</v>
      </c>
    </row>
    <row r="12" spans="2:3" ht="30" customHeight="1" x14ac:dyDescent="0.2">
      <c r="B12" s="14" t="s">
        <v>1134</v>
      </c>
      <c r="C12" s="7" t="s">
        <v>1135</v>
      </c>
    </row>
    <row r="14" spans="2:3" x14ac:dyDescent="0.2">
      <c r="B14" s="14" t="s">
        <v>1136</v>
      </c>
      <c r="C14" s="7" t="s">
        <v>1137</v>
      </c>
    </row>
    <row r="15" spans="2:3" x14ac:dyDescent="0.2">
      <c r="B15" s="14" t="s">
        <v>1138</v>
      </c>
      <c r="C15" s="7" t="s">
        <v>1139</v>
      </c>
    </row>
    <row r="17" spans="2:3" x14ac:dyDescent="0.2">
      <c r="B17" s="14" t="s">
        <v>1140</v>
      </c>
      <c r="C17" s="7" t="s">
        <v>1141</v>
      </c>
    </row>
    <row r="19" spans="2:3" x14ac:dyDescent="0.2">
      <c r="B19" s="14" t="s">
        <v>1142</v>
      </c>
    </row>
    <row r="20" spans="2:3" x14ac:dyDescent="0.2">
      <c r="B20" s="14" t="s">
        <v>1143</v>
      </c>
      <c r="C20" s="7" t="s">
        <v>1144</v>
      </c>
    </row>
    <row r="21" spans="2:3" x14ac:dyDescent="0.2">
      <c r="B21" s="14" t="s">
        <v>1145</v>
      </c>
      <c r="C21" s="7" t="s">
        <v>1146</v>
      </c>
    </row>
    <row r="22" spans="2:3" x14ac:dyDescent="0.2">
      <c r="B22" s="14" t="s">
        <v>1147</v>
      </c>
      <c r="C22" s="7" t="s">
        <v>1148</v>
      </c>
    </row>
    <row r="23" spans="2:3" x14ac:dyDescent="0.2">
      <c r="B23" s="14" t="s">
        <v>1149</v>
      </c>
      <c r="C23" s="7" t="s">
        <v>1150</v>
      </c>
    </row>
    <row r="24" spans="2:3" x14ac:dyDescent="0.2">
      <c r="B24" s="14" t="s">
        <v>1151</v>
      </c>
      <c r="C24" s="7" t="s">
        <v>1152</v>
      </c>
    </row>
    <row r="25" spans="2:3" x14ac:dyDescent="0.2">
      <c r="B25" s="14" t="s">
        <v>1153</v>
      </c>
      <c r="C25" s="7" t="s">
        <v>1154</v>
      </c>
    </row>
    <row r="26" spans="2:3" x14ac:dyDescent="0.2">
      <c r="B26" s="14" t="s">
        <v>1155</v>
      </c>
      <c r="C26" s="7" t="s">
        <v>1156</v>
      </c>
    </row>
    <row r="27" spans="2:3" x14ac:dyDescent="0.2">
      <c r="B27" s="14" t="s">
        <v>1157</v>
      </c>
      <c r="C27" s="7" t="s">
        <v>1158</v>
      </c>
    </row>
    <row r="28" spans="2:3" x14ac:dyDescent="0.2">
      <c r="B28" s="14" t="s">
        <v>1159</v>
      </c>
      <c r="C28" s="7" t="s">
        <v>1160</v>
      </c>
    </row>
    <row r="29" spans="2:3" ht="30" customHeight="1" x14ac:dyDescent="0.2">
      <c r="B29" s="14" t="s">
        <v>1161</v>
      </c>
      <c r="C29" s="7" t="s">
        <v>1162</v>
      </c>
    </row>
    <row r="31" spans="2:3" ht="16" x14ac:dyDescent="0.2">
      <c r="B31" s="3" t="s">
        <v>1163</v>
      </c>
    </row>
    <row r="32" spans="2:3" x14ac:dyDescent="0.2">
      <c r="B32" s="14" t="s">
        <v>1164</v>
      </c>
      <c r="C32" s="7" t="s">
        <v>1165</v>
      </c>
    </row>
    <row r="33" spans="2:3" x14ac:dyDescent="0.2">
      <c r="B33" s="14" t="s">
        <v>1166</v>
      </c>
      <c r="C33" s="7" t="s">
        <v>1167</v>
      </c>
    </row>
    <row r="34" spans="2:3" x14ac:dyDescent="0.2">
      <c r="B34" s="14" t="s">
        <v>1168</v>
      </c>
      <c r="C34" s="7" t="s">
        <v>1169</v>
      </c>
    </row>
    <row r="35" spans="2:3" ht="30" customHeight="1" x14ac:dyDescent="0.2">
      <c r="B35" s="14" t="s">
        <v>1170</v>
      </c>
      <c r="C35" s="7" t="s">
        <v>1171</v>
      </c>
    </row>
    <row r="36" spans="2:3" x14ac:dyDescent="0.2">
      <c r="B36" s="14" t="s">
        <v>1172</v>
      </c>
      <c r="C36" s="7" t="s">
        <v>1173</v>
      </c>
    </row>
    <row r="37" spans="2:3" x14ac:dyDescent="0.2">
      <c r="B37" s="14" t="s">
        <v>1174</v>
      </c>
      <c r="C37" s="7" t="s">
        <v>1175</v>
      </c>
    </row>
    <row r="38" spans="2:3" x14ac:dyDescent="0.2">
      <c r="B38" s="14" t="s">
        <v>1176</v>
      </c>
      <c r="C38" s="7" t="s">
        <v>1177</v>
      </c>
    </row>
    <row r="39" spans="2:3" x14ac:dyDescent="0.2">
      <c r="B39" s="14" t="s">
        <v>1178</v>
      </c>
      <c r="C39" s="7" t="s">
        <v>1179</v>
      </c>
    </row>
    <row r="40" spans="2:3" x14ac:dyDescent="0.2">
      <c r="B40" s="14" t="s">
        <v>1180</v>
      </c>
      <c r="C40" s="7" t="s">
        <v>1181</v>
      </c>
    </row>
    <row r="42" spans="2:3" x14ac:dyDescent="0.2">
      <c r="B42" s="14" t="s">
        <v>1182</v>
      </c>
      <c r="C42" s="7" t="s">
        <v>1183</v>
      </c>
    </row>
    <row r="43" spans="2:3" x14ac:dyDescent="0.2">
      <c r="B43" s="14" t="s">
        <v>54</v>
      </c>
      <c r="C43" s="7" t="s">
        <v>1184</v>
      </c>
    </row>
    <row r="44" spans="2:3" x14ac:dyDescent="0.2">
      <c r="B44" s="14" t="s">
        <v>33</v>
      </c>
      <c r="C44" s="7" t="s">
        <v>1185</v>
      </c>
    </row>
    <row r="45" spans="2:3" x14ac:dyDescent="0.2">
      <c r="B45" s="14" t="s">
        <v>29</v>
      </c>
      <c r="C45" s="7" t="s">
        <v>1186</v>
      </c>
    </row>
    <row r="46" spans="2:3" x14ac:dyDescent="0.2">
      <c r="B46" s="14" t="s">
        <v>38</v>
      </c>
      <c r="C46" s="7" t="s">
        <v>1187</v>
      </c>
    </row>
    <row r="48" spans="2:3" ht="16" x14ac:dyDescent="0.2">
      <c r="B48" s="3" t="s">
        <v>1188</v>
      </c>
    </row>
    <row r="49" spans="2:3" x14ac:dyDescent="0.2">
      <c r="B49" s="14" t="s">
        <v>1189</v>
      </c>
      <c r="C49" s="7" t="s">
        <v>1190</v>
      </c>
    </row>
    <row r="50" spans="2:3" x14ac:dyDescent="0.2">
      <c r="B50" s="14" t="s">
        <v>1191</v>
      </c>
      <c r="C50" s="7" t="s">
        <v>1192</v>
      </c>
    </row>
    <row r="51" spans="2:3" x14ac:dyDescent="0.2">
      <c r="B51" s="14" t="s">
        <v>1193</v>
      </c>
      <c r="C51" s="7" t="s">
        <v>1194</v>
      </c>
    </row>
    <row r="52" spans="2:3" x14ac:dyDescent="0.2">
      <c r="B52" s="14" t="s">
        <v>1195</v>
      </c>
      <c r="C52" s="7" t="s">
        <v>1196</v>
      </c>
    </row>
    <row r="54" spans="2:3" x14ac:dyDescent="0.2">
      <c r="B54" s="14" t="s">
        <v>1197</v>
      </c>
      <c r="C54" s="7" t="s">
        <v>1198</v>
      </c>
    </row>
    <row r="55" spans="2:3" x14ac:dyDescent="0.2">
      <c r="B55" s="14" t="s">
        <v>1199</v>
      </c>
      <c r="C55" s="7" t="s">
        <v>1200</v>
      </c>
    </row>
    <row r="56" spans="2:3" x14ac:dyDescent="0.2">
      <c r="B56" s="14" t="s">
        <v>1201</v>
      </c>
      <c r="C56" s="7" t="s">
        <v>1202</v>
      </c>
    </row>
    <row r="57" spans="2:3" ht="30" customHeight="1" x14ac:dyDescent="0.2">
      <c r="B57" s="14" t="s">
        <v>1203</v>
      </c>
      <c r="C57" s="7" t="s">
        <v>1204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Investment Thesis</vt:lpstr>
      <vt:lpstr>Revenue History</vt:lpstr>
      <vt:lpstr>Shares Outstanding</vt:lpstr>
      <vt:lpstr>Net Income &amp; Debt</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Lorenzo Lennie</cp:lastModifiedBy>
  <cp:revision>0</cp:revision>
  <dcterms:created xsi:type="dcterms:W3CDTF">2026-06-03T17:27:18Z</dcterms:created>
  <dcterms:modified xsi:type="dcterms:W3CDTF">2026-06-03T17:40:27Z</dcterms:modified>
  <dc:language>en-US</dc:language>
</cp:coreProperties>
</file>